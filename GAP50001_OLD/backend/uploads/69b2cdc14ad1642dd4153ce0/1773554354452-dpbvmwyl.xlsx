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0.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1.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3.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GC\Desktop\"/>
    </mc:Choice>
  </mc:AlternateContent>
  <xr:revisionPtr revIDLastSave="0" documentId="8_{2851D7BB-333D-4975-A685-C25146936F48}" xr6:coauthVersionLast="47" xr6:coauthVersionMax="47" xr10:uidLastSave="{00000000-0000-0000-0000-000000000000}"/>
  <bookViews>
    <workbookView xWindow="-120" yWindow="-120" windowWidth="24240" windowHeight="13140" firstSheet="30" activeTab="33" xr2:uid="{00000000-000D-0000-FFFF-FFFF00000000}"/>
  </bookViews>
  <sheets>
    <sheet name="QT01BM01.." sheetId="43" state="hidden" r:id="rId1"/>
    <sheet name="QT01.BM01" sheetId="99" r:id="rId2"/>
    <sheet name="QT01.BM02.." sheetId="7" state="hidden" r:id="rId3"/>
    <sheet name="QT03.BM01" sheetId="3" r:id="rId4"/>
    <sheet name="QT01.BM02" sheetId="100" r:id="rId5"/>
    <sheet name="QT03BM02.Độ khôngđảmbảotổng.." sheetId="94" state="hidden" r:id="rId6"/>
    <sheet name="QT03BM02.Độ khôngđảmbảotổng" sheetId="101" r:id="rId7"/>
    <sheet name="QT03BM02.Độ khôngđảmbảo Cat12.." sheetId="92" state="hidden" r:id="rId8"/>
    <sheet name="QT03BM02.Độkhôngđảmbảo 1.2 " sheetId="102" r:id="rId9"/>
    <sheet name="QT02BM01Bảng địnhluongLoaiKhí.." sheetId="95" state="hidden" r:id="rId10"/>
    <sheet name="QT02BM01Bảng địnhluong Loai" sheetId="103" r:id="rId11"/>
    <sheet name="QT02BM01 Bảng định lượng KNK TH" sheetId="10" r:id="rId12"/>
    <sheet name="1.1.1 DO Máy phát điện" sheetId="59" r:id="rId13"/>
    <sheet name="1.1.2 Gas LPG SX" sheetId="60" r:id="rId14"/>
    <sheet name="1.1.3 Gas LPG Nhà ăn" sheetId="62" r:id="rId15"/>
    <sheet name="1.1.4 Methanol" sheetId="64" r:id="rId16"/>
    <sheet name="1.1.5 Xăng MCC " sheetId="65" r:id="rId17"/>
    <sheet name="1.1.6 Dầu hỏa" sheetId="67" r:id="rId18"/>
    <sheet name="1.1.7 Nước thủy tinh" sheetId="69" r:id="rId19"/>
    <sheet name="1.1.8.Sơn lõi khuôn BR-750" sheetId="71" r:id="rId20"/>
    <sheet name="1.1.8. Sơn lõi KOALIDPASTE94i" sheetId="98" r:id="rId21"/>
    <sheet name="1.1.9 Cồn Công nghiệp" sheetId="76" r:id="rId22"/>
    <sheet name="1.1.10. CO2 kết dính thao" sheetId="78" r:id="rId23"/>
    <sheet name="1.2.1 DO Xe nângNB Offroad" sheetId="79" r:id="rId24"/>
    <sheet name="1.2.2 DOXevậntảiBNOnroad" sheetId="80" r:id="rId25"/>
    <sheet name="1.2.3 Xăng Xe Onroad" sheetId="84" r:id="rId26"/>
    <sheet name="1.3.1. Bình chữacháyCO2" sheetId="85" r:id="rId27"/>
    <sheet name="1.3.2.Môi chất lạnh" sheetId="86" r:id="rId28"/>
    <sheet name="1.3.3 BỂ XỬ LÝ NƯỚC THẢI TT " sheetId="87" r:id="rId29"/>
    <sheet name="1.3.3 BỂ XL NƯỚC THẢI TT" sheetId="91" r:id="rId30"/>
    <sheet name="1.3.4 Phân bón" sheetId="89" r:id="rId31"/>
    <sheet name="1.4. HẤP THỤ TỪ CÂY XANH" sheetId="104" r:id="rId32"/>
    <sheet name="2.1. MUA ĐIỆN NGOÀI " sheetId="88" r:id="rId33"/>
    <sheet name="Bảng phát thải theo loại khí 24" sheetId="96" r:id="rId34"/>
  </sheets>
  <externalReferences>
    <externalReference r:id="rId35"/>
    <externalReference r:id="rId36"/>
  </externalReferences>
  <definedNames>
    <definedName name="_xlnm._FilterDatabase" localSheetId="27" hidden="1">'1.3.2.Môi chất lạnh'!$A$11:$AD$62</definedName>
    <definedName name="_xlnm._FilterDatabase" localSheetId="31" hidden="1">'1.4. HẤP THỤ TỪ CÂY XANH'!$A$8:$W$29</definedName>
    <definedName name="_xlnm.Print_Area" localSheetId="11">'QT02BM01 Bảng định lượng KNK TH'!$A$4:$P$29</definedName>
    <definedName name="_xlnm.Print_Area" localSheetId="10">'QT02BM01Bảng địnhluong Loai'!$A$1:$H$43</definedName>
    <definedName name="_xlnm.Print_Area" localSheetId="9">'QT02BM01Bảng địnhluongLoaiKhí..'!$A$1:$H$45</definedName>
    <definedName name="_xlnm.Print_Area" localSheetId="6">'QT03BM02.Độ khôngđảmbảotổng'!$A$13:$K$40</definedName>
    <definedName name="_xlnm.Print_Area" localSheetId="5">'QT03BM02.Độ khôngđảmbảotổng..'!$A$13:$K$41</definedName>
    <definedName name="_xlnm.Print_Titles" localSheetId="27">'1.3.2.Môi chất lạnh'!$11:$12</definedName>
    <definedName name="_xlnm.Print_Titles" localSheetId="1">'QT01.BM01'!$2:$2</definedName>
    <definedName name="_xlnm.Print_Titles" localSheetId="4">'QT01.BM02'!$16:$16</definedName>
    <definedName name="_xlnm.Print_Titles" localSheetId="0">'QT01BM01..'!$2:$2</definedName>
    <definedName name="_xlnm.Print_Titles" localSheetId="6">'QT03BM02.Độ khôngđảmbảotổng'!$13:$13</definedName>
    <definedName name="_xlnm.Print_Titles" localSheetId="8">'QT03BM02.Độkhôngđảmbảo 1.2 '!$12:$12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80" l="1"/>
  <c r="G32" i="101" l="1"/>
  <c r="E33" i="96" l="1"/>
  <c r="C33" i="96"/>
  <c r="B33" i="96"/>
  <c r="B30" i="96"/>
  <c r="D28" i="96"/>
  <c r="C28" i="96"/>
  <c r="B28" i="96"/>
  <c r="E26" i="96"/>
  <c r="D26" i="96"/>
  <c r="D25" i="96" s="1"/>
  <c r="C26" i="96"/>
  <c r="E21" i="96"/>
  <c r="E18" i="96"/>
  <c r="E8" i="96"/>
  <c r="N4" i="96"/>
  <c r="F23" i="88"/>
  <c r="K22" i="88"/>
  <c r="J22" i="88"/>
  <c r="H22" i="88"/>
  <c r="L21" i="88"/>
  <c r="H21" i="88"/>
  <c r="L20" i="88"/>
  <c r="H20" i="88"/>
  <c r="L19" i="88"/>
  <c r="H19" i="88"/>
  <c r="L18" i="88"/>
  <c r="H18" i="88"/>
  <c r="L17" i="88"/>
  <c r="H17" i="88"/>
  <c r="L16" i="88"/>
  <c r="H16" i="88"/>
  <c r="L15" i="88"/>
  <c r="H15" i="88"/>
  <c r="L14" i="88"/>
  <c r="H14" i="88"/>
  <c r="L13" i="88"/>
  <c r="H13" i="88"/>
  <c r="L12" i="88"/>
  <c r="H12" i="88"/>
  <c r="L11" i="88"/>
  <c r="H11" i="88"/>
  <c r="H23" i="88" s="1"/>
  <c r="O26" i="10" s="1"/>
  <c r="L10" i="88"/>
  <c r="L22" i="88" s="1"/>
  <c r="Q28" i="104"/>
  <c r="P28" i="104"/>
  <c r="Q27" i="104"/>
  <c r="P27" i="104"/>
  <c r="P26" i="104"/>
  <c r="Q26" i="104" s="1"/>
  <c r="P25" i="104"/>
  <c r="Q25" i="104" s="1"/>
  <c r="Q24" i="104"/>
  <c r="P24" i="104"/>
  <c r="Q23" i="104"/>
  <c r="P23" i="104"/>
  <c r="P22" i="104"/>
  <c r="Q22" i="104" s="1"/>
  <c r="P21" i="104"/>
  <c r="Q21" i="104" s="1"/>
  <c r="P20" i="104"/>
  <c r="Q20" i="104" s="1"/>
  <c r="Q19" i="104"/>
  <c r="P19" i="104"/>
  <c r="P18" i="104"/>
  <c r="Q18" i="104" s="1"/>
  <c r="P17" i="104"/>
  <c r="Q17" i="104" s="1"/>
  <c r="P16" i="104"/>
  <c r="Q16" i="104" s="1"/>
  <c r="Q15" i="104"/>
  <c r="P15" i="104"/>
  <c r="P14" i="104"/>
  <c r="Q14" i="104" s="1"/>
  <c r="P13" i="104"/>
  <c r="Q13" i="104" s="1"/>
  <c r="P12" i="104"/>
  <c r="Q12" i="104" s="1"/>
  <c r="Q11" i="104"/>
  <c r="P11" i="104"/>
  <c r="B26" i="89"/>
  <c r="H20" i="89"/>
  <c r="H26" i="89" s="1"/>
  <c r="D34" i="96" s="1"/>
  <c r="F20" i="89"/>
  <c r="F26" i="89" s="1"/>
  <c r="E23" i="91"/>
  <c r="E26" i="91" s="1"/>
  <c r="F22" i="91"/>
  <c r="H22" i="91" s="1"/>
  <c r="J22" i="91" s="1"/>
  <c r="F21" i="91"/>
  <c r="H21" i="91" s="1"/>
  <c r="J21" i="91" s="1"/>
  <c r="H20" i="91"/>
  <c r="J20" i="91" s="1"/>
  <c r="F20" i="91"/>
  <c r="H19" i="91"/>
  <c r="J19" i="91" s="1"/>
  <c r="F19" i="91"/>
  <c r="F18" i="91"/>
  <c r="H18" i="91" s="1"/>
  <c r="J18" i="91" s="1"/>
  <c r="T17" i="91"/>
  <c r="F17" i="91"/>
  <c r="H17" i="91" s="1"/>
  <c r="J17" i="91" s="1"/>
  <c r="F16" i="91"/>
  <c r="H16" i="91" s="1"/>
  <c r="J16" i="91" s="1"/>
  <c r="H15" i="91"/>
  <c r="J15" i="91" s="1"/>
  <c r="F15" i="91"/>
  <c r="H14" i="91"/>
  <c r="J14" i="91" s="1"/>
  <c r="F14" i="91"/>
  <c r="F13" i="91"/>
  <c r="H13" i="91" s="1"/>
  <c r="J13" i="91" s="1"/>
  <c r="T12" i="91"/>
  <c r="F12" i="91"/>
  <c r="H12" i="91" s="1"/>
  <c r="J12" i="91" s="1"/>
  <c r="F11" i="91"/>
  <c r="H11" i="91" s="1"/>
  <c r="B45" i="87"/>
  <c r="B44" i="87"/>
  <c r="N43" i="87"/>
  <c r="D43" i="87"/>
  <c r="E43" i="87" s="1"/>
  <c r="G43" i="87" s="1"/>
  <c r="J43" i="87" s="1"/>
  <c r="L43" i="87" s="1"/>
  <c r="O43" i="87" s="1"/>
  <c r="Q43" i="87" s="1"/>
  <c r="N42" i="87"/>
  <c r="D42" i="87"/>
  <c r="E42" i="87" s="1"/>
  <c r="G42" i="87" s="1"/>
  <c r="J42" i="87" s="1"/>
  <c r="L42" i="87" s="1"/>
  <c r="O42" i="87" s="1"/>
  <c r="Q42" i="87" s="1"/>
  <c r="N41" i="87"/>
  <c r="D41" i="87"/>
  <c r="E41" i="87" s="1"/>
  <c r="G41" i="87" s="1"/>
  <c r="J41" i="87" s="1"/>
  <c r="L41" i="87" s="1"/>
  <c r="O41" i="87" s="1"/>
  <c r="Q41" i="87" s="1"/>
  <c r="N40" i="87"/>
  <c r="D40" i="87"/>
  <c r="E40" i="87" s="1"/>
  <c r="G40" i="87" s="1"/>
  <c r="J40" i="87" s="1"/>
  <c r="L40" i="87" s="1"/>
  <c r="O40" i="87" s="1"/>
  <c r="Q40" i="87" s="1"/>
  <c r="N39" i="87"/>
  <c r="D39" i="87"/>
  <c r="E39" i="87" s="1"/>
  <c r="G39" i="87" s="1"/>
  <c r="J39" i="87" s="1"/>
  <c r="L39" i="87" s="1"/>
  <c r="O39" i="87" s="1"/>
  <c r="Q39" i="87" s="1"/>
  <c r="N38" i="87"/>
  <c r="D38" i="87"/>
  <c r="E38" i="87" s="1"/>
  <c r="G38" i="87" s="1"/>
  <c r="J38" i="87" s="1"/>
  <c r="L38" i="87" s="1"/>
  <c r="O38" i="87" s="1"/>
  <c r="Q38" i="87" s="1"/>
  <c r="N37" i="87"/>
  <c r="D37" i="87"/>
  <c r="E37" i="87" s="1"/>
  <c r="G37" i="87" s="1"/>
  <c r="J37" i="87" s="1"/>
  <c r="L37" i="87" s="1"/>
  <c r="O37" i="87" s="1"/>
  <c r="Q37" i="87" s="1"/>
  <c r="N36" i="87"/>
  <c r="D36" i="87"/>
  <c r="E36" i="87" s="1"/>
  <c r="G36" i="87" s="1"/>
  <c r="J36" i="87" s="1"/>
  <c r="L36" i="87" s="1"/>
  <c r="O36" i="87" s="1"/>
  <c r="Q36" i="87" s="1"/>
  <c r="N35" i="87"/>
  <c r="D35" i="87"/>
  <c r="E35" i="87" s="1"/>
  <c r="G35" i="87" s="1"/>
  <c r="J35" i="87" s="1"/>
  <c r="L35" i="87" s="1"/>
  <c r="O35" i="87" s="1"/>
  <c r="Q35" i="87" s="1"/>
  <c r="N34" i="87"/>
  <c r="D34" i="87"/>
  <c r="E34" i="87" s="1"/>
  <c r="G34" i="87" s="1"/>
  <c r="J34" i="87" s="1"/>
  <c r="L34" i="87" s="1"/>
  <c r="O34" i="87" s="1"/>
  <c r="Q34" i="87" s="1"/>
  <c r="N33" i="87"/>
  <c r="D33" i="87"/>
  <c r="E33" i="87" s="1"/>
  <c r="G33" i="87" s="1"/>
  <c r="J33" i="87" s="1"/>
  <c r="L33" i="87" s="1"/>
  <c r="O33" i="87" s="1"/>
  <c r="Q33" i="87" s="1"/>
  <c r="N32" i="87"/>
  <c r="D32" i="87"/>
  <c r="E32" i="87" s="1"/>
  <c r="G32" i="87" s="1"/>
  <c r="J32" i="87" s="1"/>
  <c r="L32" i="87" s="1"/>
  <c r="M25" i="87"/>
  <c r="L25" i="87"/>
  <c r="O24" i="87"/>
  <c r="D24" i="87"/>
  <c r="B24" i="87"/>
  <c r="E24" i="87" s="1"/>
  <c r="F24" i="87" s="1"/>
  <c r="I24" i="87" s="1"/>
  <c r="K24" i="87" s="1"/>
  <c r="N24" i="87" s="1"/>
  <c r="O23" i="87"/>
  <c r="D23" i="87"/>
  <c r="B23" i="87"/>
  <c r="E23" i="87" s="1"/>
  <c r="F23" i="87" s="1"/>
  <c r="I23" i="87" s="1"/>
  <c r="K23" i="87" s="1"/>
  <c r="N23" i="87" s="1"/>
  <c r="O22" i="87"/>
  <c r="D22" i="87"/>
  <c r="B22" i="87"/>
  <c r="E22" i="87" s="1"/>
  <c r="F22" i="87" s="1"/>
  <c r="I22" i="87" s="1"/>
  <c r="K22" i="87" s="1"/>
  <c r="N22" i="87" s="1"/>
  <c r="O21" i="87"/>
  <c r="D21" i="87"/>
  <c r="B21" i="87"/>
  <c r="E21" i="87" s="1"/>
  <c r="F21" i="87" s="1"/>
  <c r="I21" i="87" s="1"/>
  <c r="K21" i="87" s="1"/>
  <c r="N21" i="87" s="1"/>
  <c r="O20" i="87"/>
  <c r="D20" i="87"/>
  <c r="B20" i="87"/>
  <c r="O19" i="87"/>
  <c r="D19" i="87"/>
  <c r="B19" i="87"/>
  <c r="O18" i="87"/>
  <c r="D18" i="87"/>
  <c r="B18" i="87"/>
  <c r="O17" i="87"/>
  <c r="D17" i="87"/>
  <c r="B17" i="87"/>
  <c r="O16" i="87"/>
  <c r="D16" i="87"/>
  <c r="B16" i="87"/>
  <c r="E16" i="87" s="1"/>
  <c r="F16" i="87" s="1"/>
  <c r="I16" i="87" s="1"/>
  <c r="K16" i="87" s="1"/>
  <c r="N16" i="87" s="1"/>
  <c r="O15" i="87"/>
  <c r="D15" i="87"/>
  <c r="B15" i="87"/>
  <c r="O14" i="87"/>
  <c r="D14" i="87"/>
  <c r="B14" i="87"/>
  <c r="E14" i="87" s="1"/>
  <c r="F14" i="87" s="1"/>
  <c r="I14" i="87" s="1"/>
  <c r="K14" i="87" s="1"/>
  <c r="N14" i="87" s="1"/>
  <c r="O13" i="87"/>
  <c r="D13" i="87"/>
  <c r="B13" i="87"/>
  <c r="B25" i="87" s="1"/>
  <c r="F58" i="86"/>
  <c r="F57" i="86"/>
  <c r="S57" i="86" s="1"/>
  <c r="T57" i="86" s="1"/>
  <c r="F55" i="86"/>
  <c r="F54" i="86"/>
  <c r="S54" i="86" s="1"/>
  <c r="T54" i="86" s="1"/>
  <c r="F49" i="86"/>
  <c r="F48" i="86"/>
  <c r="S48" i="86" s="1"/>
  <c r="T48" i="86" s="1"/>
  <c r="F46" i="86"/>
  <c r="F45" i="86"/>
  <c r="S45" i="86" s="1"/>
  <c r="T45" i="86" s="1"/>
  <c r="F43" i="86"/>
  <c r="F42" i="86"/>
  <c r="S42" i="86" s="1"/>
  <c r="T42" i="86" s="1"/>
  <c r="F40" i="86"/>
  <c r="S39" i="86"/>
  <c r="T39" i="86" s="1"/>
  <c r="F39" i="86"/>
  <c r="F37" i="86"/>
  <c r="F36" i="86"/>
  <c r="S36" i="86" s="1"/>
  <c r="T36" i="86" s="1"/>
  <c r="F31" i="86"/>
  <c r="F30" i="86"/>
  <c r="S30" i="86" s="1"/>
  <c r="T30" i="86" s="1"/>
  <c r="F26" i="86"/>
  <c r="F25" i="86"/>
  <c r="F24" i="86"/>
  <c r="F23" i="86"/>
  <c r="F22" i="86"/>
  <c r="S22" i="86" s="1"/>
  <c r="T22" i="86" s="1"/>
  <c r="F20" i="86"/>
  <c r="S19" i="86" s="1"/>
  <c r="T19" i="86" s="1"/>
  <c r="F19" i="86"/>
  <c r="F17" i="86"/>
  <c r="F16" i="86"/>
  <c r="S16" i="86" s="1"/>
  <c r="T16" i="86" s="1"/>
  <c r="F14" i="86"/>
  <c r="S13" i="86" s="1"/>
  <c r="T13" i="86" s="1"/>
  <c r="F13" i="86"/>
  <c r="D33" i="85"/>
  <c r="D22" i="85"/>
  <c r="E21" i="85"/>
  <c r="C21" i="85"/>
  <c r="F21" i="85" s="1"/>
  <c r="G21" i="85" s="1"/>
  <c r="E20" i="85"/>
  <c r="C20" i="85"/>
  <c r="E19" i="85"/>
  <c r="C19" i="85"/>
  <c r="F19" i="85" s="1"/>
  <c r="G19" i="85" s="1"/>
  <c r="E18" i="85"/>
  <c r="C18" i="85"/>
  <c r="E17" i="85"/>
  <c r="C17" i="85"/>
  <c r="F17" i="85" s="1"/>
  <c r="G17" i="85" s="1"/>
  <c r="E16" i="85"/>
  <c r="C16" i="85"/>
  <c r="E15" i="85"/>
  <c r="C15" i="85"/>
  <c r="F15" i="85" s="1"/>
  <c r="G15" i="85" s="1"/>
  <c r="E14" i="85"/>
  <c r="C14" i="85"/>
  <c r="E13" i="85"/>
  <c r="C13" i="85"/>
  <c r="F13" i="85" s="1"/>
  <c r="G13" i="85" s="1"/>
  <c r="E12" i="85"/>
  <c r="C12" i="85"/>
  <c r="E11" i="85"/>
  <c r="C11" i="85"/>
  <c r="F11" i="85" s="1"/>
  <c r="G11" i="85" s="1"/>
  <c r="E10" i="85"/>
  <c r="C10" i="85"/>
  <c r="C22" i="85" s="1"/>
  <c r="B25" i="84"/>
  <c r="H24" i="84"/>
  <c r="K24" i="84" s="1"/>
  <c r="G24" i="84"/>
  <c r="F24" i="84"/>
  <c r="E24" i="84"/>
  <c r="C24" i="84"/>
  <c r="H23" i="84"/>
  <c r="G23" i="84"/>
  <c r="F23" i="84"/>
  <c r="C23" i="84"/>
  <c r="E23" i="84" s="1"/>
  <c r="J22" i="84"/>
  <c r="I22" i="84"/>
  <c r="H22" i="84"/>
  <c r="G22" i="84"/>
  <c r="F22" i="84"/>
  <c r="E22" i="84"/>
  <c r="K22" i="84" s="1"/>
  <c r="C22" i="84"/>
  <c r="K21" i="84"/>
  <c r="H21" i="84"/>
  <c r="G21" i="84"/>
  <c r="F21" i="84"/>
  <c r="C21" i="84"/>
  <c r="E21" i="84" s="1"/>
  <c r="I21" i="84" s="1"/>
  <c r="K20" i="84"/>
  <c r="H20" i="84"/>
  <c r="G20" i="84"/>
  <c r="F20" i="84"/>
  <c r="C20" i="84"/>
  <c r="E20" i="84" s="1"/>
  <c r="H19" i="84"/>
  <c r="G19" i="84"/>
  <c r="F19" i="84"/>
  <c r="E19" i="84"/>
  <c r="C19" i="84"/>
  <c r="H18" i="84"/>
  <c r="G18" i="84"/>
  <c r="F18" i="84"/>
  <c r="E18" i="84"/>
  <c r="C18" i="84"/>
  <c r="H17" i="84"/>
  <c r="G17" i="84"/>
  <c r="F17" i="84"/>
  <c r="C17" i="84"/>
  <c r="E17" i="84" s="1"/>
  <c r="H16" i="84"/>
  <c r="K16" i="84" s="1"/>
  <c r="G16" i="84"/>
  <c r="F16" i="84"/>
  <c r="E16" i="84"/>
  <c r="J16" i="84" s="1"/>
  <c r="C16" i="84"/>
  <c r="I15" i="84"/>
  <c r="H15" i="84"/>
  <c r="G15" i="84"/>
  <c r="F15" i="84"/>
  <c r="C15" i="84"/>
  <c r="E15" i="84" s="1"/>
  <c r="J14" i="84"/>
  <c r="I14" i="84"/>
  <c r="H14" i="84"/>
  <c r="G14" i="84"/>
  <c r="F14" i="84"/>
  <c r="E14" i="84"/>
  <c r="K14" i="84" s="1"/>
  <c r="C14" i="84"/>
  <c r="H13" i="84"/>
  <c r="G13" i="84"/>
  <c r="F13" i="84"/>
  <c r="C13" i="84"/>
  <c r="B25" i="80"/>
  <c r="H24" i="80"/>
  <c r="G24" i="80"/>
  <c r="F24" i="80"/>
  <c r="C24" i="80"/>
  <c r="E24" i="80" s="1"/>
  <c r="H23" i="80"/>
  <c r="G23" i="80"/>
  <c r="F23" i="80"/>
  <c r="C23" i="80"/>
  <c r="E23" i="80" s="1"/>
  <c r="J23" i="80" s="1"/>
  <c r="H22" i="80"/>
  <c r="G22" i="80"/>
  <c r="F22" i="80"/>
  <c r="C22" i="80"/>
  <c r="E22" i="80" s="1"/>
  <c r="H21" i="80"/>
  <c r="G21" i="80"/>
  <c r="F21" i="80"/>
  <c r="C21" i="80"/>
  <c r="E21" i="80" s="1"/>
  <c r="H20" i="80"/>
  <c r="G20" i="80"/>
  <c r="F20" i="80"/>
  <c r="C20" i="80"/>
  <c r="E20" i="80" s="1"/>
  <c r="H19" i="80"/>
  <c r="G19" i="80"/>
  <c r="F19" i="80"/>
  <c r="C19" i="80"/>
  <c r="E19" i="80" s="1"/>
  <c r="H18" i="80"/>
  <c r="G18" i="80"/>
  <c r="F18" i="80"/>
  <c r="C18" i="80"/>
  <c r="E18" i="80" s="1"/>
  <c r="J18" i="80" s="1"/>
  <c r="H17" i="80"/>
  <c r="G17" i="80"/>
  <c r="F17" i="80"/>
  <c r="C17" i="80"/>
  <c r="E17" i="80" s="1"/>
  <c r="H16" i="80"/>
  <c r="G16" i="80"/>
  <c r="F16" i="80"/>
  <c r="C16" i="80"/>
  <c r="E16" i="80" s="1"/>
  <c r="J16" i="80" s="1"/>
  <c r="H15" i="80"/>
  <c r="G15" i="80"/>
  <c r="F15" i="80"/>
  <c r="C15" i="80"/>
  <c r="E15" i="80" s="1"/>
  <c r="H14" i="80"/>
  <c r="G14" i="80"/>
  <c r="F14" i="80"/>
  <c r="C14" i="80"/>
  <c r="E14" i="80" s="1"/>
  <c r="H13" i="80"/>
  <c r="G13" i="80"/>
  <c r="F13" i="80"/>
  <c r="B25" i="79"/>
  <c r="H24" i="79"/>
  <c r="G24" i="79"/>
  <c r="F24" i="79"/>
  <c r="C24" i="79"/>
  <c r="E24" i="79" s="1"/>
  <c r="H23" i="79"/>
  <c r="K23" i="79" s="1"/>
  <c r="G23" i="79"/>
  <c r="F23" i="79"/>
  <c r="E23" i="79"/>
  <c r="J23" i="79" s="1"/>
  <c r="C23" i="79"/>
  <c r="I22" i="79"/>
  <c r="H22" i="79"/>
  <c r="G22" i="79"/>
  <c r="F22" i="79"/>
  <c r="C22" i="79"/>
  <c r="E22" i="79" s="1"/>
  <c r="J21" i="79"/>
  <c r="I21" i="79"/>
  <c r="N21" i="79" s="1"/>
  <c r="H21" i="79"/>
  <c r="G21" i="79"/>
  <c r="F21" i="79"/>
  <c r="E21" i="79"/>
  <c r="K21" i="79" s="1"/>
  <c r="C21" i="79"/>
  <c r="H20" i="79"/>
  <c r="G20" i="79"/>
  <c r="F20" i="79"/>
  <c r="C20" i="79"/>
  <c r="E20" i="79" s="1"/>
  <c r="I20" i="79" s="1"/>
  <c r="H19" i="79"/>
  <c r="G19" i="79"/>
  <c r="F19" i="79"/>
  <c r="C19" i="79"/>
  <c r="E19" i="79" s="1"/>
  <c r="H18" i="79"/>
  <c r="G18" i="79"/>
  <c r="F18" i="79"/>
  <c r="C18" i="79"/>
  <c r="E18" i="79" s="1"/>
  <c r="H17" i="79"/>
  <c r="G17" i="79"/>
  <c r="F17" i="79"/>
  <c r="E17" i="79"/>
  <c r="C17" i="79"/>
  <c r="H16" i="79"/>
  <c r="G16" i="79"/>
  <c r="F16" i="79"/>
  <c r="C16" i="79"/>
  <c r="E16" i="79" s="1"/>
  <c r="H15" i="79"/>
  <c r="K15" i="79" s="1"/>
  <c r="G15" i="79"/>
  <c r="F15" i="79"/>
  <c r="E15" i="79"/>
  <c r="C15" i="79"/>
  <c r="H14" i="79"/>
  <c r="G14" i="79"/>
  <c r="F14" i="79"/>
  <c r="C14" i="79"/>
  <c r="E14" i="79" s="1"/>
  <c r="J13" i="79"/>
  <c r="I13" i="79"/>
  <c r="H13" i="79"/>
  <c r="G13" i="79"/>
  <c r="F13" i="79"/>
  <c r="E13" i="79"/>
  <c r="K13" i="79" s="1"/>
  <c r="C13" i="79"/>
  <c r="G36" i="78"/>
  <c r="H23" i="78"/>
  <c r="H22" i="78"/>
  <c r="E22" i="78"/>
  <c r="C22" i="78"/>
  <c r="I21" i="78"/>
  <c r="J21" i="78" s="1"/>
  <c r="G21" i="78"/>
  <c r="I20" i="78"/>
  <c r="J20" i="78" s="1"/>
  <c r="G20" i="78"/>
  <c r="J19" i="78"/>
  <c r="I19" i="78"/>
  <c r="G19" i="78"/>
  <c r="I18" i="78"/>
  <c r="J18" i="78" s="1"/>
  <c r="G18" i="78"/>
  <c r="G17" i="78"/>
  <c r="I17" i="78" s="1"/>
  <c r="J17" i="78" s="1"/>
  <c r="G16" i="78"/>
  <c r="I16" i="78" s="1"/>
  <c r="J16" i="78" s="1"/>
  <c r="G15" i="78"/>
  <c r="I15" i="78" s="1"/>
  <c r="J15" i="78" s="1"/>
  <c r="I14" i="78"/>
  <c r="J14" i="78" s="1"/>
  <c r="G14" i="78"/>
  <c r="I13" i="78"/>
  <c r="J13" i="78" s="1"/>
  <c r="G13" i="78"/>
  <c r="I12" i="78"/>
  <c r="J12" i="78" s="1"/>
  <c r="G12" i="78"/>
  <c r="J11" i="78"/>
  <c r="I11" i="78"/>
  <c r="G11" i="78"/>
  <c r="I10" i="78"/>
  <c r="G10" i="78"/>
  <c r="B25" i="76"/>
  <c r="G24" i="76"/>
  <c r="E24" i="76"/>
  <c r="G23" i="76"/>
  <c r="E23" i="76"/>
  <c r="E22" i="76"/>
  <c r="G22" i="76" s="1"/>
  <c r="E21" i="76"/>
  <c r="G21" i="76" s="1"/>
  <c r="G20" i="76"/>
  <c r="E20" i="76"/>
  <c r="G19" i="76"/>
  <c r="E19" i="76"/>
  <c r="E18" i="76"/>
  <c r="G18" i="76" s="1"/>
  <c r="E17" i="76"/>
  <c r="G17" i="76" s="1"/>
  <c r="G16" i="76"/>
  <c r="E16" i="76"/>
  <c r="E15" i="76"/>
  <c r="G15" i="76" s="1"/>
  <c r="E14" i="76"/>
  <c r="G14" i="76" s="1"/>
  <c r="E13" i="76"/>
  <c r="R32" i="98"/>
  <c r="R26" i="98"/>
  <c r="B26" i="98"/>
  <c r="P25" i="98"/>
  <c r="O25" i="98"/>
  <c r="G25" i="98"/>
  <c r="F25" i="98"/>
  <c r="E25" i="98"/>
  <c r="D25" i="98"/>
  <c r="C25" i="98"/>
  <c r="N25" i="98" s="1"/>
  <c r="S24" i="98"/>
  <c r="Q24" i="98"/>
  <c r="G24" i="98"/>
  <c r="F24" i="98"/>
  <c r="E24" i="98"/>
  <c r="P24" i="98" s="1"/>
  <c r="D24" i="98"/>
  <c r="O24" i="98" s="1"/>
  <c r="C24" i="98"/>
  <c r="N24" i="98" s="1"/>
  <c r="O23" i="98"/>
  <c r="G23" i="98"/>
  <c r="F23" i="98"/>
  <c r="E23" i="98"/>
  <c r="P23" i="98" s="1"/>
  <c r="D23" i="98"/>
  <c r="C23" i="98"/>
  <c r="N23" i="98" s="1"/>
  <c r="O22" i="98"/>
  <c r="N22" i="98"/>
  <c r="G22" i="98"/>
  <c r="F22" i="98"/>
  <c r="E22" i="98"/>
  <c r="P22" i="98" s="1"/>
  <c r="D22" i="98"/>
  <c r="C22" i="98"/>
  <c r="P21" i="98"/>
  <c r="O21" i="98"/>
  <c r="G21" i="98"/>
  <c r="F21" i="98"/>
  <c r="E21" i="98"/>
  <c r="D21" i="98"/>
  <c r="C21" i="98"/>
  <c r="N21" i="98" s="1"/>
  <c r="Q21" i="98" s="1"/>
  <c r="S21" i="98" s="1"/>
  <c r="G20" i="98"/>
  <c r="F20" i="98"/>
  <c r="E20" i="98"/>
  <c r="P20" i="98" s="1"/>
  <c r="D20" i="98"/>
  <c r="O20" i="98" s="1"/>
  <c r="C20" i="98"/>
  <c r="N20" i="98" s="1"/>
  <c r="Q20" i="98" s="1"/>
  <c r="S20" i="98" s="1"/>
  <c r="O19" i="98"/>
  <c r="G19" i="98"/>
  <c r="F19" i="98"/>
  <c r="E19" i="98"/>
  <c r="P19" i="98" s="1"/>
  <c r="D19" i="98"/>
  <c r="C19" i="98"/>
  <c r="N19" i="98" s="1"/>
  <c r="O18" i="98"/>
  <c r="N18" i="98"/>
  <c r="Q18" i="98" s="1"/>
  <c r="S18" i="98" s="1"/>
  <c r="G18" i="98"/>
  <c r="F18" i="98"/>
  <c r="E18" i="98"/>
  <c r="P18" i="98" s="1"/>
  <c r="D18" i="98"/>
  <c r="C18" i="98"/>
  <c r="P17" i="98"/>
  <c r="O17" i="98"/>
  <c r="G17" i="98"/>
  <c r="F17" i="98"/>
  <c r="E17" i="98"/>
  <c r="D17" i="98"/>
  <c r="C17" i="98"/>
  <c r="N17" i="98" s="1"/>
  <c r="G16" i="98"/>
  <c r="F16" i="98"/>
  <c r="E16" i="98"/>
  <c r="P16" i="98" s="1"/>
  <c r="Q16" i="98" s="1"/>
  <c r="S16" i="98" s="1"/>
  <c r="D16" i="98"/>
  <c r="O16" i="98" s="1"/>
  <c r="C16" i="98"/>
  <c r="N16" i="98" s="1"/>
  <c r="O15" i="98"/>
  <c r="G15" i="98"/>
  <c r="F15" i="98"/>
  <c r="E15" i="98"/>
  <c r="P15" i="98" s="1"/>
  <c r="D15" i="98"/>
  <c r="C15" i="98"/>
  <c r="N15" i="98" s="1"/>
  <c r="Q15" i="98" s="1"/>
  <c r="S15" i="98" s="1"/>
  <c r="O14" i="98"/>
  <c r="G14" i="98"/>
  <c r="F14" i="98"/>
  <c r="E14" i="98"/>
  <c r="P14" i="98" s="1"/>
  <c r="D14" i="98"/>
  <c r="C14" i="98"/>
  <c r="N14" i="98" s="1"/>
  <c r="B26" i="71"/>
  <c r="E25" i="71"/>
  <c r="R25" i="71" s="1"/>
  <c r="D25" i="71"/>
  <c r="Q25" i="71" s="1"/>
  <c r="C25" i="71"/>
  <c r="P25" i="71" s="1"/>
  <c r="R24" i="71"/>
  <c r="E24" i="71"/>
  <c r="D24" i="71"/>
  <c r="Q24" i="71" s="1"/>
  <c r="C24" i="71"/>
  <c r="P24" i="71" s="1"/>
  <c r="S24" i="71" s="1"/>
  <c r="Q23" i="71"/>
  <c r="E23" i="71"/>
  <c r="R23" i="71" s="1"/>
  <c r="S23" i="71" s="1"/>
  <c r="D23" i="71"/>
  <c r="C23" i="71"/>
  <c r="P23" i="71" s="1"/>
  <c r="R22" i="71"/>
  <c r="P22" i="71"/>
  <c r="E22" i="71"/>
  <c r="D22" i="71"/>
  <c r="Q22" i="71" s="1"/>
  <c r="S22" i="71" s="1"/>
  <c r="C22" i="71"/>
  <c r="R21" i="71"/>
  <c r="Q21" i="71"/>
  <c r="E21" i="71"/>
  <c r="D21" i="71"/>
  <c r="C21" i="71"/>
  <c r="P21" i="71" s="1"/>
  <c r="R20" i="71"/>
  <c r="Q20" i="71"/>
  <c r="P20" i="71"/>
  <c r="S20" i="71" s="1"/>
  <c r="E20" i="71"/>
  <c r="D20" i="71"/>
  <c r="C20" i="71"/>
  <c r="Q19" i="71"/>
  <c r="E19" i="71"/>
  <c r="R19" i="71" s="1"/>
  <c r="D19" i="71"/>
  <c r="C19" i="71"/>
  <c r="P19" i="71" s="1"/>
  <c r="S19" i="71" s="1"/>
  <c r="P18" i="71"/>
  <c r="E18" i="71"/>
  <c r="R18" i="71" s="1"/>
  <c r="D18" i="71"/>
  <c r="Q18" i="71" s="1"/>
  <c r="C18" i="71"/>
  <c r="Q17" i="71"/>
  <c r="S17" i="71" s="1"/>
  <c r="E17" i="71"/>
  <c r="R17" i="71" s="1"/>
  <c r="D17" i="71"/>
  <c r="C17" i="71"/>
  <c r="P17" i="71" s="1"/>
  <c r="R16" i="71"/>
  <c r="E16" i="71"/>
  <c r="D16" i="71"/>
  <c r="Q16" i="71" s="1"/>
  <c r="C16" i="71"/>
  <c r="P16" i="71" s="1"/>
  <c r="S16" i="71" s="1"/>
  <c r="S15" i="71"/>
  <c r="Q15" i="71"/>
  <c r="E15" i="71"/>
  <c r="R15" i="71" s="1"/>
  <c r="D15" i="71"/>
  <c r="C15" i="71"/>
  <c r="P15" i="71" s="1"/>
  <c r="R14" i="71"/>
  <c r="P14" i="71"/>
  <c r="E14" i="71"/>
  <c r="D14" i="71"/>
  <c r="Q14" i="71" s="1"/>
  <c r="C14" i="71"/>
  <c r="B25" i="69"/>
  <c r="D24" i="69"/>
  <c r="F24" i="69" s="1"/>
  <c r="D23" i="69"/>
  <c r="F23" i="69" s="1"/>
  <c r="D22" i="69"/>
  <c r="F22" i="69" s="1"/>
  <c r="F21" i="69"/>
  <c r="D21" i="69"/>
  <c r="D20" i="69"/>
  <c r="F20" i="69" s="1"/>
  <c r="D19" i="69"/>
  <c r="F19" i="69" s="1"/>
  <c r="D18" i="69"/>
  <c r="F18" i="69" s="1"/>
  <c r="F17" i="69"/>
  <c r="D17" i="69"/>
  <c r="D16" i="69"/>
  <c r="F16" i="69" s="1"/>
  <c r="D15" i="69"/>
  <c r="F15" i="69" s="1"/>
  <c r="D14" i="69"/>
  <c r="F14" i="69" s="1"/>
  <c r="F13" i="69"/>
  <c r="D13" i="69"/>
  <c r="B25" i="67"/>
  <c r="L24" i="67"/>
  <c r="I24" i="67"/>
  <c r="H24" i="67"/>
  <c r="G24" i="67"/>
  <c r="F24" i="67"/>
  <c r="K24" i="67" s="1"/>
  <c r="D24" i="67"/>
  <c r="K23" i="67"/>
  <c r="I23" i="67"/>
  <c r="H23" i="67"/>
  <c r="G23" i="67"/>
  <c r="D23" i="67"/>
  <c r="F23" i="67" s="1"/>
  <c r="L22" i="67"/>
  <c r="I22" i="67"/>
  <c r="H22" i="67"/>
  <c r="G22" i="67"/>
  <c r="F22" i="67"/>
  <c r="D22" i="67"/>
  <c r="I21" i="67"/>
  <c r="H21" i="67"/>
  <c r="G21" i="67"/>
  <c r="D21" i="67"/>
  <c r="F21" i="67" s="1"/>
  <c r="I20" i="67"/>
  <c r="H20" i="67"/>
  <c r="G20" i="67"/>
  <c r="F20" i="67"/>
  <c r="L20" i="67" s="1"/>
  <c r="D20" i="67"/>
  <c r="L19" i="67"/>
  <c r="I19" i="67"/>
  <c r="H19" i="67"/>
  <c r="G19" i="67"/>
  <c r="D19" i="67"/>
  <c r="F19" i="67" s="1"/>
  <c r="J19" i="67" s="1"/>
  <c r="L18" i="67"/>
  <c r="J18" i="67"/>
  <c r="I18" i="67"/>
  <c r="H18" i="67"/>
  <c r="G18" i="67"/>
  <c r="D18" i="67"/>
  <c r="F18" i="67" s="1"/>
  <c r="K18" i="67" s="1"/>
  <c r="K17" i="67"/>
  <c r="I17" i="67"/>
  <c r="H17" i="67"/>
  <c r="G17" i="67"/>
  <c r="F17" i="67"/>
  <c r="D17" i="67"/>
  <c r="L16" i="67"/>
  <c r="I16" i="67"/>
  <c r="H16" i="67"/>
  <c r="G16" i="67"/>
  <c r="J16" i="67" s="1"/>
  <c r="O16" i="67" s="1"/>
  <c r="F16" i="67"/>
  <c r="K16" i="67" s="1"/>
  <c r="D16" i="67"/>
  <c r="I15" i="67"/>
  <c r="H15" i="67"/>
  <c r="G15" i="67"/>
  <c r="D15" i="67"/>
  <c r="F15" i="67" s="1"/>
  <c r="I14" i="67"/>
  <c r="H14" i="67"/>
  <c r="G14" i="67"/>
  <c r="F14" i="67"/>
  <c r="D14" i="67"/>
  <c r="J13" i="67"/>
  <c r="I13" i="67"/>
  <c r="H13" i="67"/>
  <c r="G13" i="67"/>
  <c r="D13" i="67"/>
  <c r="F13" i="67" s="1"/>
  <c r="B25" i="65"/>
  <c r="H24" i="65"/>
  <c r="G24" i="65"/>
  <c r="C24" i="65"/>
  <c r="E24" i="65" s="1"/>
  <c r="K24" i="65" s="1"/>
  <c r="J23" i="65"/>
  <c r="I23" i="65"/>
  <c r="N23" i="65" s="1"/>
  <c r="H23" i="65"/>
  <c r="G23" i="65"/>
  <c r="F23" i="65"/>
  <c r="E23" i="65"/>
  <c r="K23" i="65" s="1"/>
  <c r="C23" i="65"/>
  <c r="J22" i="65"/>
  <c r="H22" i="65"/>
  <c r="K22" i="65" s="1"/>
  <c r="G22" i="65"/>
  <c r="F22" i="65"/>
  <c r="C22" i="65"/>
  <c r="E22" i="65" s="1"/>
  <c r="I22" i="65" s="1"/>
  <c r="K21" i="65"/>
  <c r="I21" i="65"/>
  <c r="H21" i="65"/>
  <c r="G21" i="65"/>
  <c r="F21" i="65"/>
  <c r="C21" i="65"/>
  <c r="E21" i="65" s="1"/>
  <c r="H20" i="65"/>
  <c r="G20" i="65"/>
  <c r="F20" i="65"/>
  <c r="E20" i="65"/>
  <c r="C20" i="65"/>
  <c r="H19" i="65"/>
  <c r="G19" i="65"/>
  <c r="F19" i="65"/>
  <c r="E19" i="65"/>
  <c r="C19" i="65"/>
  <c r="H18" i="65"/>
  <c r="G18" i="65"/>
  <c r="F18" i="65"/>
  <c r="C18" i="65"/>
  <c r="E18" i="65" s="1"/>
  <c r="K17" i="65"/>
  <c r="H17" i="65"/>
  <c r="G17" i="65"/>
  <c r="F17" i="65"/>
  <c r="E17" i="65"/>
  <c r="I17" i="65" s="1"/>
  <c r="C17" i="65"/>
  <c r="H16" i="65"/>
  <c r="G16" i="65"/>
  <c r="F16" i="65"/>
  <c r="C16" i="65"/>
  <c r="E16" i="65" s="1"/>
  <c r="J16" i="65" s="1"/>
  <c r="J15" i="65"/>
  <c r="H15" i="65"/>
  <c r="G15" i="65"/>
  <c r="F15" i="65"/>
  <c r="C15" i="65"/>
  <c r="E15" i="65" s="1"/>
  <c r="K14" i="65"/>
  <c r="J14" i="65"/>
  <c r="I14" i="65"/>
  <c r="H14" i="65"/>
  <c r="G14" i="65"/>
  <c r="F14" i="65"/>
  <c r="E14" i="65"/>
  <c r="C14" i="65"/>
  <c r="K13" i="65"/>
  <c r="H13" i="65"/>
  <c r="G13" i="65"/>
  <c r="F13" i="65"/>
  <c r="C13" i="65"/>
  <c r="E13" i="65" s="1"/>
  <c r="I13" i="65" s="1"/>
  <c r="D25" i="64"/>
  <c r="B25" i="64"/>
  <c r="D24" i="64"/>
  <c r="F24" i="64" s="1"/>
  <c r="F23" i="64"/>
  <c r="D23" i="64"/>
  <c r="D22" i="64"/>
  <c r="F22" i="64" s="1"/>
  <c r="D21" i="64"/>
  <c r="F21" i="64" s="1"/>
  <c r="D20" i="64"/>
  <c r="F20" i="64" s="1"/>
  <c r="D19" i="64"/>
  <c r="F19" i="64" s="1"/>
  <c r="D18" i="64"/>
  <c r="F18" i="64" s="1"/>
  <c r="F17" i="64"/>
  <c r="D17" i="64"/>
  <c r="F16" i="64"/>
  <c r="D16" i="64"/>
  <c r="D15" i="64"/>
  <c r="F15" i="64" s="1"/>
  <c r="D14" i="64"/>
  <c r="F14" i="64" s="1"/>
  <c r="F13" i="64"/>
  <c r="F25" i="64" s="1"/>
  <c r="D13" i="64"/>
  <c r="C25" i="62"/>
  <c r="B25" i="62"/>
  <c r="H24" i="62"/>
  <c r="G24" i="62"/>
  <c r="F24" i="62"/>
  <c r="E24" i="62"/>
  <c r="K24" i="62" s="1"/>
  <c r="C24" i="62"/>
  <c r="H23" i="62"/>
  <c r="G23" i="62"/>
  <c r="F23" i="62"/>
  <c r="C23" i="62"/>
  <c r="E23" i="62" s="1"/>
  <c r="H22" i="62"/>
  <c r="G22" i="62"/>
  <c r="F22" i="62"/>
  <c r="C22" i="62"/>
  <c r="E22" i="62" s="1"/>
  <c r="H21" i="62"/>
  <c r="G21" i="62"/>
  <c r="F21" i="62"/>
  <c r="C21" i="62"/>
  <c r="E21" i="62" s="1"/>
  <c r="J20" i="62"/>
  <c r="H20" i="62"/>
  <c r="G20" i="62"/>
  <c r="F20" i="62"/>
  <c r="C20" i="62"/>
  <c r="E20" i="62" s="1"/>
  <c r="K19" i="62"/>
  <c r="H19" i="62"/>
  <c r="G19" i="62"/>
  <c r="F19" i="62"/>
  <c r="E19" i="62"/>
  <c r="I19" i="62" s="1"/>
  <c r="C19" i="62"/>
  <c r="H18" i="62"/>
  <c r="G18" i="62"/>
  <c r="F18" i="62"/>
  <c r="C18" i="62"/>
  <c r="E18" i="62" s="1"/>
  <c r="H17" i="62"/>
  <c r="G17" i="62"/>
  <c r="F17" i="62"/>
  <c r="E17" i="62"/>
  <c r="C17" i="62"/>
  <c r="H16" i="62"/>
  <c r="G16" i="62"/>
  <c r="F16" i="62"/>
  <c r="E16" i="62"/>
  <c r="K16" i="62" s="1"/>
  <c r="C16" i="62"/>
  <c r="H15" i="62"/>
  <c r="G15" i="62"/>
  <c r="F15" i="62"/>
  <c r="C15" i="62"/>
  <c r="E15" i="62" s="1"/>
  <c r="H14" i="62"/>
  <c r="G14" i="62"/>
  <c r="F14" i="62"/>
  <c r="C14" i="62"/>
  <c r="E14" i="62" s="1"/>
  <c r="H13" i="62"/>
  <c r="G13" i="62"/>
  <c r="F13" i="62"/>
  <c r="C13" i="62"/>
  <c r="E13" i="62" s="1"/>
  <c r="B25" i="60"/>
  <c r="H24" i="60"/>
  <c r="G24" i="60"/>
  <c r="F24" i="60"/>
  <c r="C24" i="60"/>
  <c r="E24" i="60" s="1"/>
  <c r="H23" i="60"/>
  <c r="G23" i="60"/>
  <c r="F23" i="60"/>
  <c r="E23" i="60"/>
  <c r="C23" i="60"/>
  <c r="H22" i="60"/>
  <c r="G22" i="60"/>
  <c r="F22" i="60"/>
  <c r="E22" i="60"/>
  <c r="K22" i="60" s="1"/>
  <c r="C22" i="60"/>
  <c r="H21" i="60"/>
  <c r="G21" i="60"/>
  <c r="F21" i="60"/>
  <c r="C21" i="60"/>
  <c r="E21" i="60" s="1"/>
  <c r="H20" i="60"/>
  <c r="G20" i="60"/>
  <c r="F20" i="60"/>
  <c r="C20" i="60"/>
  <c r="E20" i="60" s="1"/>
  <c r="I19" i="60"/>
  <c r="H19" i="60"/>
  <c r="G19" i="60"/>
  <c r="F19" i="60"/>
  <c r="C19" i="60"/>
  <c r="E19" i="60" s="1"/>
  <c r="H18" i="60"/>
  <c r="G18" i="60"/>
  <c r="F18" i="60"/>
  <c r="C18" i="60"/>
  <c r="E18" i="60" s="1"/>
  <c r="K17" i="60"/>
  <c r="H17" i="60"/>
  <c r="G17" i="60"/>
  <c r="F17" i="60"/>
  <c r="E17" i="60"/>
  <c r="I17" i="60" s="1"/>
  <c r="C17" i="60"/>
  <c r="H16" i="60"/>
  <c r="G16" i="60"/>
  <c r="F16" i="60"/>
  <c r="C16" i="60"/>
  <c r="H15" i="60"/>
  <c r="G15" i="60"/>
  <c r="F15" i="60"/>
  <c r="E15" i="60"/>
  <c r="C15" i="60"/>
  <c r="H14" i="60"/>
  <c r="G14" i="60"/>
  <c r="F14" i="60"/>
  <c r="E14" i="60"/>
  <c r="K14" i="60" s="1"/>
  <c r="C14" i="60"/>
  <c r="H13" i="60"/>
  <c r="G13" i="60"/>
  <c r="F13" i="60"/>
  <c r="C13" i="60"/>
  <c r="E13" i="60" s="1"/>
  <c r="B25" i="59"/>
  <c r="J24" i="59"/>
  <c r="H24" i="59"/>
  <c r="G24" i="59"/>
  <c r="F24" i="59"/>
  <c r="C24" i="59"/>
  <c r="E24" i="59" s="1"/>
  <c r="H23" i="59"/>
  <c r="G23" i="59"/>
  <c r="F23" i="59"/>
  <c r="E23" i="59"/>
  <c r="C23" i="59"/>
  <c r="H22" i="59"/>
  <c r="G22" i="59"/>
  <c r="F22" i="59"/>
  <c r="C22" i="59"/>
  <c r="E22" i="59" s="1"/>
  <c r="H21" i="59"/>
  <c r="G21" i="59"/>
  <c r="F21" i="59"/>
  <c r="E21" i="59"/>
  <c r="C21" i="59"/>
  <c r="H20" i="59"/>
  <c r="G20" i="59"/>
  <c r="F20" i="59"/>
  <c r="E20" i="59"/>
  <c r="K20" i="59" s="1"/>
  <c r="C20" i="59"/>
  <c r="I19" i="59"/>
  <c r="H19" i="59"/>
  <c r="G19" i="59"/>
  <c r="F19" i="59"/>
  <c r="C19" i="59"/>
  <c r="E19" i="59" s="1"/>
  <c r="H18" i="59"/>
  <c r="G18" i="59"/>
  <c r="F18" i="59"/>
  <c r="C18" i="59"/>
  <c r="E18" i="59" s="1"/>
  <c r="H17" i="59"/>
  <c r="G17" i="59"/>
  <c r="F17" i="59"/>
  <c r="C17" i="59"/>
  <c r="E17" i="59" s="1"/>
  <c r="J17" i="59" s="1"/>
  <c r="J16" i="59"/>
  <c r="H16" i="59"/>
  <c r="G16" i="59"/>
  <c r="F16" i="59"/>
  <c r="C16" i="59"/>
  <c r="E16" i="59" s="1"/>
  <c r="K15" i="59"/>
  <c r="H15" i="59"/>
  <c r="G15" i="59"/>
  <c r="F15" i="59"/>
  <c r="E15" i="59"/>
  <c r="C15" i="59"/>
  <c r="H14" i="59"/>
  <c r="G14" i="59"/>
  <c r="F14" i="59"/>
  <c r="C14" i="59"/>
  <c r="E14" i="59" s="1"/>
  <c r="H13" i="59"/>
  <c r="G13" i="59"/>
  <c r="F13" i="59"/>
  <c r="E13" i="59"/>
  <c r="C13" i="59"/>
  <c r="O24" i="10"/>
  <c r="O9" i="10"/>
  <c r="P34" i="103"/>
  <c r="O34" i="103"/>
  <c r="G30" i="103"/>
  <c r="G28" i="103"/>
  <c r="C28" i="103"/>
  <c r="G26" i="103"/>
  <c r="E26" i="103"/>
  <c r="P36" i="95"/>
  <c r="O36" i="95"/>
  <c r="G32" i="95"/>
  <c r="G30" i="95"/>
  <c r="C30" i="95"/>
  <c r="G28" i="95"/>
  <c r="H35" i="101" s="1"/>
  <c r="E28" i="95"/>
  <c r="F22" i="95"/>
  <c r="G16" i="95"/>
  <c r="C16" i="95"/>
  <c r="H39" i="102"/>
  <c r="H40" i="102" s="1"/>
  <c r="I39" i="102" s="1"/>
  <c r="I40" i="102" s="1"/>
  <c r="G39" i="102"/>
  <c r="H37" i="102"/>
  <c r="G37" i="102"/>
  <c r="G36" i="102"/>
  <c r="G35" i="102"/>
  <c r="G34" i="102"/>
  <c r="G32" i="102"/>
  <c r="G31" i="102"/>
  <c r="G30" i="102"/>
  <c r="G29" i="102"/>
  <c r="G27" i="102"/>
  <c r="G26" i="102"/>
  <c r="G25" i="102"/>
  <c r="G24" i="102"/>
  <c r="G23" i="102"/>
  <c r="G22" i="102"/>
  <c r="G21" i="102"/>
  <c r="G20" i="102"/>
  <c r="G19" i="102"/>
  <c r="G18" i="102"/>
  <c r="I40" i="92"/>
  <c r="I41" i="92" s="1"/>
  <c r="H40" i="92"/>
  <c r="H41" i="92" s="1"/>
  <c r="G40" i="92"/>
  <c r="J40" i="92" s="1"/>
  <c r="K40" i="92" s="1"/>
  <c r="K42" i="92" s="1"/>
  <c r="K43" i="92" s="1"/>
  <c r="H38" i="92"/>
  <c r="G38" i="92"/>
  <c r="G37" i="92"/>
  <c r="G36" i="92"/>
  <c r="G35" i="92"/>
  <c r="G34" i="92"/>
  <c r="G33" i="92"/>
  <c r="G31" i="92"/>
  <c r="G30" i="92"/>
  <c r="G28" i="92"/>
  <c r="G27" i="92"/>
  <c r="H26" i="92"/>
  <c r="G26" i="92"/>
  <c r="G25" i="92"/>
  <c r="G24" i="92"/>
  <c r="G23" i="92"/>
  <c r="G22" i="92"/>
  <c r="G21" i="92"/>
  <c r="G20" i="92"/>
  <c r="G19" i="92"/>
  <c r="G18" i="92"/>
  <c r="H37" i="101"/>
  <c r="G37" i="101"/>
  <c r="G35" i="101"/>
  <c r="G34" i="101"/>
  <c r="G33" i="101"/>
  <c r="G30" i="101"/>
  <c r="G29" i="101"/>
  <c r="G28" i="101"/>
  <c r="G27" i="101"/>
  <c r="G25" i="101"/>
  <c r="G24" i="101"/>
  <c r="G23" i="101"/>
  <c r="G22" i="101"/>
  <c r="G21" i="101"/>
  <c r="G20" i="101"/>
  <c r="G19" i="101"/>
  <c r="G18" i="101"/>
  <c r="G17" i="101"/>
  <c r="G16" i="101"/>
  <c r="H38" i="94"/>
  <c r="G38" i="94"/>
  <c r="H36" i="94"/>
  <c r="G36" i="94"/>
  <c r="G35" i="94"/>
  <c r="G34" i="94"/>
  <c r="G33" i="94"/>
  <c r="G32" i="94"/>
  <c r="G31" i="94"/>
  <c r="G29" i="94"/>
  <c r="G28" i="94"/>
  <c r="G26" i="94"/>
  <c r="G25" i="94"/>
  <c r="G24" i="94"/>
  <c r="G23" i="94"/>
  <c r="G22" i="94"/>
  <c r="G21" i="94"/>
  <c r="G20" i="94"/>
  <c r="G19" i="94"/>
  <c r="G18" i="94"/>
  <c r="G17" i="94"/>
  <c r="G16" i="94"/>
  <c r="A43" i="100"/>
  <c r="A44" i="100" s="1"/>
  <c r="A45" i="100" s="1"/>
  <c r="A46" i="100" s="1"/>
  <c r="A47" i="100" s="1"/>
  <c r="A48" i="100" s="1"/>
  <c r="A49" i="100" s="1"/>
  <c r="A52" i="100" s="1"/>
  <c r="A53" i="100" s="1"/>
  <c r="A55" i="100" s="1"/>
  <c r="A56" i="100" s="1"/>
  <c r="A58" i="100" s="1"/>
  <c r="A59" i="100" s="1"/>
  <c r="A60" i="100" s="1"/>
  <c r="A61" i="100" s="1"/>
  <c r="A62" i="100" s="1"/>
  <c r="A63" i="100" s="1"/>
  <c r="A64" i="100" s="1"/>
  <c r="A65" i="100" s="1"/>
  <c r="A67" i="100" s="1"/>
  <c r="A68" i="100" s="1"/>
  <c r="A69" i="100" s="1"/>
  <c r="A72" i="100" s="1"/>
  <c r="A73" i="100" s="1"/>
  <c r="A75" i="100" s="1"/>
  <c r="A76" i="100" s="1"/>
  <c r="A77" i="100" s="1"/>
  <c r="A78" i="100" s="1"/>
  <c r="A79" i="100" s="1"/>
  <c r="A80" i="100" s="1"/>
  <c r="A81" i="100" s="1"/>
  <c r="A82" i="100" s="1"/>
  <c r="A85" i="100" s="1"/>
  <c r="A86" i="100" s="1"/>
  <c r="A88" i="100" s="1"/>
  <c r="A89" i="100" s="1"/>
  <c r="A92" i="100" s="1"/>
  <c r="A93" i="100" s="1"/>
  <c r="A95" i="100" s="1"/>
  <c r="A96" i="100" s="1"/>
  <c r="A98" i="100" s="1"/>
  <c r="A99" i="100" s="1"/>
  <c r="A100" i="100" s="1"/>
  <c r="A101" i="100" s="1"/>
  <c r="A102" i="100" s="1"/>
  <c r="A105" i="100" s="1"/>
  <c r="A106" i="100" s="1"/>
  <c r="L90" i="3"/>
  <c r="M90" i="3" s="1"/>
  <c r="L88" i="3"/>
  <c r="M88" i="3" s="1"/>
  <c r="L84" i="3"/>
  <c r="M84" i="3" s="1"/>
  <c r="M82" i="3"/>
  <c r="L82" i="3"/>
  <c r="L80" i="3"/>
  <c r="M80" i="3" s="1"/>
  <c r="L79" i="3"/>
  <c r="M79" i="3" s="1"/>
  <c r="L77" i="3"/>
  <c r="M77" i="3" s="1"/>
  <c r="L75" i="3"/>
  <c r="M75" i="3" s="1"/>
  <c r="L73" i="3"/>
  <c r="M73" i="3" s="1"/>
  <c r="L72" i="3"/>
  <c r="M72" i="3" s="1"/>
  <c r="L71" i="3"/>
  <c r="M71" i="3" s="1"/>
  <c r="L69" i="3"/>
  <c r="M69" i="3" s="1"/>
  <c r="L68" i="3"/>
  <c r="M68" i="3" s="1"/>
  <c r="L67" i="3"/>
  <c r="M67" i="3" s="1"/>
  <c r="L66" i="3"/>
  <c r="M66" i="3" s="1"/>
  <c r="M65" i="3"/>
  <c r="L65" i="3"/>
  <c r="L61" i="3"/>
  <c r="M61" i="3" s="1"/>
  <c r="L58" i="3"/>
  <c r="M58" i="3" s="1"/>
  <c r="L56" i="3"/>
  <c r="M56" i="3" s="1"/>
  <c r="L55" i="3"/>
  <c r="M55" i="3" s="1"/>
  <c r="L51" i="3"/>
  <c r="M51" i="3" s="1"/>
  <c r="L49" i="3"/>
  <c r="M49" i="3" s="1"/>
  <c r="L48" i="3"/>
  <c r="M48" i="3" s="1"/>
  <c r="M47" i="3"/>
  <c r="L47" i="3"/>
  <c r="L46" i="3"/>
  <c r="M46" i="3" s="1"/>
  <c r="L45" i="3"/>
  <c r="M45" i="3" s="1"/>
  <c r="L44" i="3"/>
  <c r="M44" i="3" s="1"/>
  <c r="L43" i="3"/>
  <c r="M43" i="3" s="1"/>
  <c r="L42" i="3"/>
  <c r="M42" i="3" s="1"/>
  <c r="L38" i="3"/>
  <c r="M38" i="3" s="1"/>
  <c r="L36" i="3"/>
  <c r="M36" i="3" s="1"/>
  <c r="L35" i="3"/>
  <c r="M35" i="3" s="1"/>
  <c r="L34" i="3"/>
  <c r="M34" i="3" s="1"/>
  <c r="L32" i="3"/>
  <c r="M32" i="3" s="1"/>
  <c r="L31" i="3"/>
  <c r="M31" i="3" s="1"/>
  <c r="L30" i="3"/>
  <c r="M30" i="3" s="1"/>
  <c r="L29" i="3"/>
  <c r="M29" i="3" s="1"/>
  <c r="L28" i="3"/>
  <c r="M28" i="3" s="1"/>
  <c r="L27" i="3"/>
  <c r="M27" i="3" s="1"/>
  <c r="L26" i="3"/>
  <c r="M26" i="3" s="1"/>
  <c r="L25" i="3"/>
  <c r="M25" i="3" s="1"/>
  <c r="L23" i="3"/>
  <c r="M23" i="3" s="1"/>
  <c r="L22" i="3"/>
  <c r="M22" i="3" s="1"/>
  <c r="M20" i="3"/>
  <c r="L20" i="3"/>
  <c r="L19" i="3"/>
  <c r="M19" i="3" s="1"/>
  <c r="L16" i="3"/>
  <c r="M16" i="3" s="1"/>
  <c r="L15" i="3"/>
  <c r="M15" i="3" s="1"/>
  <c r="M14" i="3"/>
  <c r="L14" i="3"/>
  <c r="L13" i="3"/>
  <c r="M13" i="3" s="1"/>
  <c r="L12" i="3"/>
  <c r="M12" i="3" s="1"/>
  <c r="L11" i="3"/>
  <c r="M11" i="3" s="1"/>
  <c r="L10" i="3"/>
  <c r="M10" i="3" s="1"/>
  <c r="L9" i="3"/>
  <c r="M9" i="3" s="1"/>
  <c r="A81" i="7"/>
  <c r="A82" i="7" s="1"/>
  <c r="A83" i="7" s="1"/>
  <c r="A84" i="7" s="1"/>
  <c r="A85" i="7" s="1"/>
  <c r="A80" i="7"/>
  <c r="A79" i="7"/>
  <c r="A47" i="7"/>
  <c r="A48" i="7" s="1"/>
  <c r="A49" i="7" s="1"/>
  <c r="A50" i="7" s="1"/>
  <c r="A51" i="7" s="1"/>
  <c r="A52" i="7" s="1"/>
  <c r="A46" i="7"/>
  <c r="A63" i="99"/>
  <c r="A64" i="99" s="1"/>
  <c r="A65" i="99" s="1"/>
  <c r="A66" i="99" s="1"/>
  <c r="A67" i="99" s="1"/>
  <c r="A68" i="99" s="1"/>
  <c r="A69" i="99" s="1"/>
  <c r="A72" i="99" s="1"/>
  <c r="A73" i="99" s="1"/>
  <c r="A75" i="99" s="1"/>
  <c r="A76" i="99" s="1"/>
  <c r="A79" i="99" s="1"/>
  <c r="A80" i="99" s="1"/>
  <c r="A82" i="99" s="1"/>
  <c r="A83" i="99" s="1"/>
  <c r="A85" i="99" s="1"/>
  <c r="A86" i="99" s="1"/>
  <c r="A87" i="99" s="1"/>
  <c r="A88" i="99" s="1"/>
  <c r="A89" i="99" s="1"/>
  <c r="A92" i="99" s="1"/>
  <c r="A93" i="99" s="1"/>
  <c r="A56" i="99"/>
  <c r="A55" i="99"/>
  <c r="A5" i="99"/>
  <c r="A6" i="99" s="1"/>
  <c r="A7" i="99" s="1"/>
  <c r="A8" i="99" s="1"/>
  <c r="A9" i="99" s="1"/>
  <c r="A10" i="99" s="1"/>
  <c r="A11" i="99" s="1"/>
  <c r="A12" i="99" s="1"/>
  <c r="A13" i="99" s="1"/>
  <c r="A14" i="99" s="1"/>
  <c r="A94" i="43"/>
  <c r="A95" i="43" s="1"/>
  <c r="A90" i="43"/>
  <c r="A91" i="43" s="1"/>
  <c r="A88" i="43"/>
  <c r="A89" i="43" s="1"/>
  <c r="A87" i="43"/>
  <c r="A78" i="43"/>
  <c r="A64" i="43"/>
  <c r="A65" i="43" s="1"/>
  <c r="A66" i="43" s="1"/>
  <c r="A67" i="43" s="1"/>
  <c r="A68" i="43" s="1"/>
  <c r="A69" i="43" s="1"/>
  <c r="A70" i="43" s="1"/>
  <c r="A71" i="43" s="1"/>
  <c r="A57" i="43"/>
  <c r="A58" i="43" s="1"/>
  <c r="A56" i="43"/>
  <c r="A31" i="43"/>
  <c r="A32" i="43" s="1"/>
  <c r="A33" i="43" s="1"/>
  <c r="A34" i="43" s="1"/>
  <c r="A35" i="43" s="1"/>
  <c r="A36" i="43" s="1"/>
  <c r="A37" i="43" s="1"/>
  <c r="A24" i="43"/>
  <c r="A25" i="43" s="1"/>
  <c r="A22" i="43"/>
  <c r="A23" i="43" s="1"/>
  <c r="A20" i="43"/>
  <c r="A21" i="43" s="1"/>
  <c r="A5" i="43"/>
  <c r="A6" i="43" s="1"/>
  <c r="A7" i="43" s="1"/>
  <c r="A8" i="43" s="1"/>
  <c r="A9" i="43" s="1"/>
  <c r="A10" i="43" s="1"/>
  <c r="A11" i="43" s="1"/>
  <c r="A12" i="43" s="1"/>
  <c r="A13" i="43" s="1"/>
  <c r="A14" i="43" s="1"/>
  <c r="A15" i="43" s="1"/>
  <c r="A16" i="43" s="1"/>
  <c r="A17" i="43" s="1"/>
  <c r="A18" i="43" s="1"/>
  <c r="K18" i="59" l="1"/>
  <c r="I18" i="59"/>
  <c r="K21" i="59"/>
  <c r="J21" i="59"/>
  <c r="I21" i="59"/>
  <c r="N21" i="59" s="1"/>
  <c r="K18" i="60"/>
  <c r="I18" i="60"/>
  <c r="K23" i="60"/>
  <c r="J23" i="60"/>
  <c r="I23" i="60"/>
  <c r="K14" i="62"/>
  <c r="J14" i="62"/>
  <c r="I14" i="62"/>
  <c r="N14" i="62" s="1"/>
  <c r="B11" i="96"/>
  <c r="G11" i="95"/>
  <c r="C11" i="95"/>
  <c r="H21" i="92"/>
  <c r="C11" i="103"/>
  <c r="K20" i="65"/>
  <c r="I20" i="65"/>
  <c r="N20" i="65" s="1"/>
  <c r="J20" i="65"/>
  <c r="P26" i="71"/>
  <c r="S14" i="71"/>
  <c r="G11" i="103"/>
  <c r="J14" i="59"/>
  <c r="I14" i="59"/>
  <c r="K14" i="59"/>
  <c r="K15" i="60"/>
  <c r="J15" i="60"/>
  <c r="I15" i="60"/>
  <c r="N13" i="65"/>
  <c r="K18" i="79"/>
  <c r="J18" i="79"/>
  <c r="I18" i="79"/>
  <c r="I23" i="59"/>
  <c r="J23" i="59"/>
  <c r="K20" i="60"/>
  <c r="J20" i="60"/>
  <c r="I20" i="60"/>
  <c r="N20" i="60" s="1"/>
  <c r="J18" i="62"/>
  <c r="I18" i="62"/>
  <c r="K18" i="62"/>
  <c r="K21" i="62"/>
  <c r="J21" i="62"/>
  <c r="O18" i="67"/>
  <c r="H21" i="102"/>
  <c r="N17" i="60"/>
  <c r="K13" i="62"/>
  <c r="E25" i="62"/>
  <c r="J13" i="62"/>
  <c r="K23" i="62"/>
  <c r="J23" i="62"/>
  <c r="I23" i="62"/>
  <c r="J19" i="65"/>
  <c r="K19" i="65"/>
  <c r="I19" i="65"/>
  <c r="N26" i="98"/>
  <c r="Q14" i="98"/>
  <c r="C25" i="59"/>
  <c r="K16" i="59"/>
  <c r="I16" i="59"/>
  <c r="N16" i="59" s="1"/>
  <c r="J18" i="59"/>
  <c r="J22" i="59"/>
  <c r="I22" i="59"/>
  <c r="K22" i="59"/>
  <c r="J18" i="60"/>
  <c r="J24" i="60"/>
  <c r="I24" i="60"/>
  <c r="K24" i="60"/>
  <c r="K15" i="62"/>
  <c r="J15" i="62"/>
  <c r="I15" i="62"/>
  <c r="K13" i="59"/>
  <c r="E25" i="59"/>
  <c r="J13" i="59"/>
  <c r="I13" i="59"/>
  <c r="K19" i="59"/>
  <c r="J19" i="59"/>
  <c r="N19" i="59" s="1"/>
  <c r="C25" i="60"/>
  <c r="E16" i="60"/>
  <c r="K19" i="60"/>
  <c r="J19" i="60"/>
  <c r="N19" i="60" s="1"/>
  <c r="K20" i="62"/>
  <c r="I20" i="62"/>
  <c r="D25" i="69"/>
  <c r="T60" i="86"/>
  <c r="I17" i="59"/>
  <c r="K23" i="59"/>
  <c r="K21" i="60"/>
  <c r="J21" i="60"/>
  <c r="I21" i="60"/>
  <c r="K17" i="62"/>
  <c r="J17" i="62"/>
  <c r="I17" i="62"/>
  <c r="N17" i="62" s="1"/>
  <c r="I21" i="62"/>
  <c r="N21" i="62" s="1"/>
  <c r="K15" i="65"/>
  <c r="K25" i="65" s="1"/>
  <c r="K26" i="65" s="1"/>
  <c r="I15" i="65"/>
  <c r="N15" i="65" s="1"/>
  <c r="K18" i="65"/>
  <c r="I18" i="65"/>
  <c r="J18" i="65"/>
  <c r="Q26" i="71"/>
  <c r="I15" i="59"/>
  <c r="N15" i="59" s="1"/>
  <c r="J15" i="59"/>
  <c r="K17" i="59"/>
  <c r="K24" i="59"/>
  <c r="I24" i="59"/>
  <c r="K13" i="60"/>
  <c r="E25" i="60"/>
  <c r="J13" i="60"/>
  <c r="I13" i="60"/>
  <c r="I13" i="62"/>
  <c r="K22" i="62"/>
  <c r="J22" i="62"/>
  <c r="I22" i="62"/>
  <c r="S25" i="71"/>
  <c r="K14" i="79"/>
  <c r="K25" i="79" s="1"/>
  <c r="K26" i="79" s="1"/>
  <c r="J14" i="79"/>
  <c r="J25" i="79" s="1"/>
  <c r="J26" i="79" s="1"/>
  <c r="E25" i="79"/>
  <c r="I14" i="79"/>
  <c r="J17" i="60"/>
  <c r="J19" i="62"/>
  <c r="N19" i="62" s="1"/>
  <c r="J13" i="65"/>
  <c r="N14" i="65"/>
  <c r="K16" i="65"/>
  <c r="L15" i="67"/>
  <c r="J15" i="67"/>
  <c r="L21" i="67"/>
  <c r="K21" i="67"/>
  <c r="K17" i="79"/>
  <c r="J17" i="79"/>
  <c r="I17" i="79"/>
  <c r="N17" i="79" s="1"/>
  <c r="N20" i="79"/>
  <c r="K19" i="84"/>
  <c r="J19" i="84"/>
  <c r="I19" i="84"/>
  <c r="K23" i="84"/>
  <c r="J23" i="84"/>
  <c r="J11" i="91"/>
  <c r="J23" i="91" s="1"/>
  <c r="H23" i="91"/>
  <c r="Q29" i="104"/>
  <c r="R26" i="71"/>
  <c r="P26" i="98"/>
  <c r="G22" i="78"/>
  <c r="J19" i="79"/>
  <c r="I19" i="79"/>
  <c r="N14" i="84"/>
  <c r="F12" i="85"/>
  <c r="G12" i="85" s="1"/>
  <c r="F16" i="85"/>
  <c r="G16" i="85" s="1"/>
  <c r="F20" i="85"/>
  <c r="G20" i="85" s="1"/>
  <c r="O25" i="87"/>
  <c r="D31" i="96" s="1"/>
  <c r="K14" i="67"/>
  <c r="J14" i="67"/>
  <c r="O19" i="67"/>
  <c r="I22" i="78"/>
  <c r="K16" i="79"/>
  <c r="J16" i="79"/>
  <c r="I16" i="79"/>
  <c r="K18" i="84"/>
  <c r="J18" i="84"/>
  <c r="I18" i="84"/>
  <c r="N18" i="84" s="1"/>
  <c r="N21" i="84"/>
  <c r="I20" i="59"/>
  <c r="I14" i="60"/>
  <c r="N14" i="60" s="1"/>
  <c r="I22" i="60"/>
  <c r="I16" i="62"/>
  <c r="I24" i="62"/>
  <c r="L13" i="67"/>
  <c r="K13" i="67"/>
  <c r="K15" i="67"/>
  <c r="J21" i="67"/>
  <c r="L23" i="67"/>
  <c r="J23" i="67"/>
  <c r="S21" i="71"/>
  <c r="Q19" i="98"/>
  <c r="S19" i="98" s="1"/>
  <c r="Q25" i="98"/>
  <c r="S25" i="98" s="1"/>
  <c r="J10" i="78"/>
  <c r="J22" i="78" s="1"/>
  <c r="J20" i="79"/>
  <c r="C25" i="79"/>
  <c r="K15" i="84"/>
  <c r="J15" i="84"/>
  <c r="N15" i="84" s="1"/>
  <c r="I23" i="84"/>
  <c r="N23" i="84" s="1"/>
  <c r="F34" i="96"/>
  <c r="D33" i="96"/>
  <c r="J20" i="59"/>
  <c r="J14" i="60"/>
  <c r="J22" i="60"/>
  <c r="J16" i="62"/>
  <c r="J24" i="62"/>
  <c r="Q17" i="98"/>
  <c r="S17" i="98" s="1"/>
  <c r="Q22" i="98"/>
  <c r="S22" i="98" s="1"/>
  <c r="K20" i="79"/>
  <c r="K22" i="79"/>
  <c r="N22" i="79" s="1"/>
  <c r="J22" i="79"/>
  <c r="J20" i="84"/>
  <c r="I20" i="84"/>
  <c r="N20" i="84" s="1"/>
  <c r="N22" i="65"/>
  <c r="I24" i="65"/>
  <c r="L17" i="67"/>
  <c r="J17" i="67"/>
  <c r="O17" i="67" s="1"/>
  <c r="J20" i="67"/>
  <c r="O20" i="67" s="1"/>
  <c r="F25" i="69"/>
  <c r="S18" i="71"/>
  <c r="O26" i="98"/>
  <c r="K19" i="79"/>
  <c r="K17" i="84"/>
  <c r="J17" i="84"/>
  <c r="I17" i="84"/>
  <c r="N17" i="84" s="1"/>
  <c r="N22" i="84"/>
  <c r="J24" i="84"/>
  <c r="F10" i="85"/>
  <c r="F14" i="85"/>
  <c r="G14" i="85" s="1"/>
  <c r="F18" i="85"/>
  <c r="G18" i="85" s="1"/>
  <c r="L44" i="87"/>
  <c r="O32" i="87"/>
  <c r="I16" i="65"/>
  <c r="N16" i="65" s="1"/>
  <c r="J17" i="65"/>
  <c r="N17" i="65" s="1"/>
  <c r="J21" i="65"/>
  <c r="N21" i="65" s="1"/>
  <c r="J24" i="65"/>
  <c r="L14" i="67"/>
  <c r="K19" i="67"/>
  <c r="K20" i="67"/>
  <c r="K22" i="67"/>
  <c r="J22" i="67"/>
  <c r="O22" i="67" s="1"/>
  <c r="J24" i="67"/>
  <c r="O24" i="67" s="1"/>
  <c r="Q23" i="98"/>
  <c r="S23" i="98" s="1"/>
  <c r="E25" i="76"/>
  <c r="N13" i="79"/>
  <c r="J15" i="79"/>
  <c r="K24" i="79"/>
  <c r="J24" i="79"/>
  <c r="I24" i="79"/>
  <c r="N24" i="79" s="1"/>
  <c r="C25" i="84"/>
  <c r="J21" i="84"/>
  <c r="E18" i="87"/>
  <c r="F18" i="87" s="1"/>
  <c r="I18" i="87" s="1"/>
  <c r="K18" i="87" s="1"/>
  <c r="N18" i="87" s="1"/>
  <c r="I15" i="79"/>
  <c r="N15" i="79" s="1"/>
  <c r="I23" i="79"/>
  <c r="N23" i="79" s="1"/>
  <c r="I16" i="84"/>
  <c r="N16" i="84" s="1"/>
  <c r="I24" i="84"/>
  <c r="N24" i="84" s="1"/>
  <c r="E13" i="84"/>
  <c r="E19" i="87"/>
  <c r="F19" i="87" s="1"/>
  <c r="I19" i="87" s="1"/>
  <c r="K19" i="87" s="1"/>
  <c r="N19" i="87" s="1"/>
  <c r="G13" i="76"/>
  <c r="G25" i="76" s="1"/>
  <c r="J24" i="80"/>
  <c r="E17" i="87"/>
  <c r="F17" i="87" s="1"/>
  <c r="I17" i="87" s="1"/>
  <c r="K17" i="87" s="1"/>
  <c r="N17" i="87" s="1"/>
  <c r="P29" i="104"/>
  <c r="E20" i="87"/>
  <c r="F20" i="87" s="1"/>
  <c r="I20" i="87" s="1"/>
  <c r="K20" i="87" s="1"/>
  <c r="N20" i="87" s="1"/>
  <c r="F23" i="91"/>
  <c r="E15" i="87"/>
  <c r="F15" i="87" s="1"/>
  <c r="I15" i="87" s="1"/>
  <c r="K15" i="87" s="1"/>
  <c r="N15" i="87" s="1"/>
  <c r="E7" i="96"/>
  <c r="E6" i="96" s="1"/>
  <c r="C25" i="96"/>
  <c r="E13" i="87"/>
  <c r="F13" i="87" s="1"/>
  <c r="I13" i="87" s="1"/>
  <c r="I24" i="80"/>
  <c r="K24" i="80"/>
  <c r="I23" i="80"/>
  <c r="K23" i="80"/>
  <c r="K22" i="80"/>
  <c r="I22" i="80"/>
  <c r="J22" i="80"/>
  <c r="J21" i="80"/>
  <c r="K21" i="80"/>
  <c r="I21" i="80"/>
  <c r="J20" i="80"/>
  <c r="K20" i="80"/>
  <c r="I20" i="80"/>
  <c r="J19" i="80"/>
  <c r="K19" i="80"/>
  <c r="I19" i="80"/>
  <c r="I18" i="80"/>
  <c r="K18" i="80"/>
  <c r="K17" i="80"/>
  <c r="I17" i="80"/>
  <c r="J17" i="80"/>
  <c r="C25" i="80"/>
  <c r="I16" i="80"/>
  <c r="K16" i="80"/>
  <c r="J15" i="80"/>
  <c r="K15" i="80"/>
  <c r="I15" i="80"/>
  <c r="J14" i="80"/>
  <c r="K14" i="80"/>
  <c r="I14" i="80"/>
  <c r="E13" i="80"/>
  <c r="H24" i="94"/>
  <c r="J39" i="102"/>
  <c r="K39" i="102" s="1"/>
  <c r="K41" i="102" s="1"/>
  <c r="K42" i="102" s="1"/>
  <c r="D11" i="96" l="1"/>
  <c r="E12" i="103"/>
  <c r="E12" i="95"/>
  <c r="D22" i="96"/>
  <c r="E19" i="103"/>
  <c r="E20" i="95"/>
  <c r="C22" i="96"/>
  <c r="D19" i="103"/>
  <c r="D20" i="95"/>
  <c r="I13" i="84"/>
  <c r="K13" i="84"/>
  <c r="K25" i="84" s="1"/>
  <c r="K26" i="84" s="1"/>
  <c r="E25" i="84"/>
  <c r="J13" i="84"/>
  <c r="J25" i="84" s="1"/>
  <c r="J26" i="84" s="1"/>
  <c r="D30" i="96"/>
  <c r="F31" i="96"/>
  <c r="S14" i="98"/>
  <c r="Q26" i="98"/>
  <c r="J25" i="62"/>
  <c r="J26" i="62" s="1"/>
  <c r="B16" i="96"/>
  <c r="F16" i="96" s="1"/>
  <c r="G17" i="95"/>
  <c r="C17" i="95"/>
  <c r="O14" i="10"/>
  <c r="C16" i="103"/>
  <c r="G16" i="103"/>
  <c r="H26" i="102"/>
  <c r="H27" i="92"/>
  <c r="G10" i="85"/>
  <c r="G22" i="85" s="1"/>
  <c r="F22" i="85"/>
  <c r="O21" i="67"/>
  <c r="N20" i="59"/>
  <c r="N14" i="79"/>
  <c r="N25" i="79" s="1"/>
  <c r="K25" i="59"/>
  <c r="K26" i="59" s="1"/>
  <c r="N18" i="62"/>
  <c r="N18" i="79"/>
  <c r="N18" i="60"/>
  <c r="H19" i="94"/>
  <c r="H19" i="101"/>
  <c r="B13" i="96"/>
  <c r="F13" i="96" s="1"/>
  <c r="C14" i="95"/>
  <c r="H24" i="102"/>
  <c r="O12" i="10"/>
  <c r="G14" i="103"/>
  <c r="C14" i="103"/>
  <c r="G14" i="95"/>
  <c r="H24" i="92"/>
  <c r="O15" i="67"/>
  <c r="N13" i="62"/>
  <c r="I25" i="62"/>
  <c r="I26" i="62" s="1"/>
  <c r="N17" i="59"/>
  <c r="J16" i="60"/>
  <c r="I16" i="60"/>
  <c r="I25" i="60" s="1"/>
  <c r="I26" i="60" s="1"/>
  <c r="K16" i="60"/>
  <c r="K25" i="60" s="1"/>
  <c r="K26" i="60" s="1"/>
  <c r="N15" i="62"/>
  <c r="N22" i="59"/>
  <c r="N19" i="65"/>
  <c r="K25" i="62"/>
  <c r="K26" i="62" s="1"/>
  <c r="B17" i="96"/>
  <c r="F17" i="96" s="1"/>
  <c r="C18" i="95"/>
  <c r="H27" i="102"/>
  <c r="C17" i="103"/>
  <c r="G18" i="95"/>
  <c r="G17" i="103"/>
  <c r="H28" i="92"/>
  <c r="O15" i="10"/>
  <c r="E29" i="96"/>
  <c r="G24" i="103"/>
  <c r="H35" i="102"/>
  <c r="O22" i="10"/>
  <c r="F24" i="103"/>
  <c r="F5" i="103" s="1"/>
  <c r="C22" i="10"/>
  <c r="G26" i="95"/>
  <c r="H36" i="92"/>
  <c r="F26" i="95"/>
  <c r="F5" i="95" s="1"/>
  <c r="L25" i="67"/>
  <c r="L26" i="67" s="1"/>
  <c r="N14" i="59"/>
  <c r="Q32" i="87"/>
  <c r="Q44" i="87" s="1"/>
  <c r="O44" i="87"/>
  <c r="O45" i="87" s="1"/>
  <c r="N24" i="62"/>
  <c r="O14" i="67"/>
  <c r="N19" i="79"/>
  <c r="N23" i="62"/>
  <c r="I25" i="65"/>
  <c r="I26" i="65" s="1"/>
  <c r="J25" i="60"/>
  <c r="J26" i="60" s="1"/>
  <c r="N24" i="65"/>
  <c r="N16" i="62"/>
  <c r="J25" i="65"/>
  <c r="J26" i="65" s="1"/>
  <c r="J25" i="67"/>
  <c r="J26" i="67" s="1"/>
  <c r="N18" i="65"/>
  <c r="N25" i="65" s="1"/>
  <c r="N21" i="60"/>
  <c r="N20" i="62"/>
  <c r="I25" i="59"/>
  <c r="I26" i="59" s="1"/>
  <c r="N13" i="59"/>
  <c r="N24" i="60"/>
  <c r="N23" i="60"/>
  <c r="N18" i="59"/>
  <c r="K25" i="67"/>
  <c r="K26" i="67" s="1"/>
  <c r="O13" i="67"/>
  <c r="N13" i="60"/>
  <c r="I25" i="79"/>
  <c r="I26" i="79" s="1"/>
  <c r="O23" i="67"/>
  <c r="N22" i="60"/>
  <c r="N16" i="79"/>
  <c r="N19" i="84"/>
  <c r="N22" i="62"/>
  <c r="N24" i="59"/>
  <c r="J25" i="59"/>
  <c r="J26" i="59" s="1"/>
  <c r="N23" i="59"/>
  <c r="N15" i="60"/>
  <c r="S26" i="71"/>
  <c r="I25" i="87"/>
  <c r="K13" i="87"/>
  <c r="N14" i="80"/>
  <c r="P14" i="80" s="1"/>
  <c r="N24" i="80"/>
  <c r="P24" i="80" s="1"/>
  <c r="N23" i="80"/>
  <c r="P23" i="80" s="1"/>
  <c r="N22" i="80"/>
  <c r="P22" i="80" s="1"/>
  <c r="N21" i="80"/>
  <c r="P21" i="80" s="1"/>
  <c r="N20" i="80"/>
  <c r="P20" i="80" s="1"/>
  <c r="N19" i="80"/>
  <c r="P19" i="80" s="1"/>
  <c r="N18" i="80"/>
  <c r="P18" i="80" s="1"/>
  <c r="N17" i="80"/>
  <c r="P17" i="80" s="1"/>
  <c r="N16" i="80"/>
  <c r="P16" i="80" s="1"/>
  <c r="N15" i="80"/>
  <c r="P15" i="80" s="1"/>
  <c r="K13" i="80"/>
  <c r="K25" i="80" s="1"/>
  <c r="K26" i="80" s="1"/>
  <c r="E20" i="103" s="1"/>
  <c r="I13" i="80"/>
  <c r="E25" i="80"/>
  <c r="J13" i="80"/>
  <c r="J25" i="80" s="1"/>
  <c r="J26" i="80" s="1"/>
  <c r="D20" i="103" s="1"/>
  <c r="G12" i="103" l="1"/>
  <c r="H22" i="92"/>
  <c r="O10" i="10"/>
  <c r="G12" i="95"/>
  <c r="H22" i="102"/>
  <c r="B10" i="96"/>
  <c r="C9" i="95"/>
  <c r="C9" i="103"/>
  <c r="G19" i="103"/>
  <c r="H29" i="102"/>
  <c r="H30" i="92"/>
  <c r="G20" i="95"/>
  <c r="O17" i="10"/>
  <c r="D10" i="96"/>
  <c r="E9" i="95"/>
  <c r="E9" i="103"/>
  <c r="B22" i="96"/>
  <c r="F22" i="96" s="1"/>
  <c r="C19" i="103"/>
  <c r="C20" i="95"/>
  <c r="H33" i="101"/>
  <c r="H34" i="94"/>
  <c r="N25" i="62"/>
  <c r="C9" i="96"/>
  <c r="D8" i="103"/>
  <c r="D8" i="95"/>
  <c r="B9" i="96"/>
  <c r="C8" i="103"/>
  <c r="C8" i="95"/>
  <c r="N25" i="59"/>
  <c r="H25" i="101"/>
  <c r="H26" i="94"/>
  <c r="O25" i="67"/>
  <c r="J24" i="91"/>
  <c r="J25" i="91" s="1"/>
  <c r="Q45" i="87"/>
  <c r="E27" i="95"/>
  <c r="E25" i="103"/>
  <c r="B27" i="96"/>
  <c r="G23" i="103"/>
  <c r="H34" i="102"/>
  <c r="O21" i="10"/>
  <c r="C23" i="103"/>
  <c r="C25" i="95"/>
  <c r="G25" i="95"/>
  <c r="H35" i="92"/>
  <c r="B20" i="96"/>
  <c r="F20" i="96" s="1"/>
  <c r="C12" i="95"/>
  <c r="C12" i="103"/>
  <c r="D12" i="96"/>
  <c r="E13" i="95"/>
  <c r="E13" i="103"/>
  <c r="C19" i="96"/>
  <c r="C18" i="96" s="1"/>
  <c r="D10" i="103"/>
  <c r="D10" i="95"/>
  <c r="D24" i="96"/>
  <c r="E21" i="103"/>
  <c r="E24" i="95"/>
  <c r="H22" i="94"/>
  <c r="H22" i="101"/>
  <c r="H24" i="101"/>
  <c r="H25" i="94"/>
  <c r="C12" i="96"/>
  <c r="D13" i="95"/>
  <c r="D13" i="103"/>
  <c r="B15" i="96"/>
  <c r="F15" i="96" s="1"/>
  <c r="G15" i="103"/>
  <c r="C15" i="103"/>
  <c r="H25" i="92"/>
  <c r="G15" i="95"/>
  <c r="C15" i="95"/>
  <c r="H25" i="102"/>
  <c r="B12" i="96"/>
  <c r="C13" i="103"/>
  <c r="C13" i="95"/>
  <c r="F29" i="96"/>
  <c r="E28" i="96"/>
  <c r="E25" i="96" s="1"/>
  <c r="B14" i="96"/>
  <c r="F14" i="96" s="1"/>
  <c r="S26" i="98"/>
  <c r="O13" i="10"/>
  <c r="N13" i="84"/>
  <c r="N25" i="84" s="1"/>
  <c r="I25" i="84"/>
  <c r="I26" i="84" s="1"/>
  <c r="C10" i="96"/>
  <c r="D9" i="95"/>
  <c r="D9" i="103"/>
  <c r="C24" i="96"/>
  <c r="D24" i="95"/>
  <c r="D21" i="103"/>
  <c r="N16" i="60"/>
  <c r="N25" i="60" s="1"/>
  <c r="C11" i="96"/>
  <c r="F11" i="96" s="1"/>
  <c r="D12" i="103"/>
  <c r="D12" i="95"/>
  <c r="D19" i="96"/>
  <c r="D18" i="96" s="1"/>
  <c r="E10" i="103"/>
  <c r="E10" i="95"/>
  <c r="B19" i="96"/>
  <c r="C10" i="103"/>
  <c r="C10" i="95"/>
  <c r="D9" i="96"/>
  <c r="D8" i="96" s="1"/>
  <c r="D7" i="96" s="1"/>
  <c r="E8" i="103"/>
  <c r="E5" i="103" s="1"/>
  <c r="E8" i="95"/>
  <c r="K25" i="87"/>
  <c r="N13" i="87"/>
  <c r="N25" i="87" s="1"/>
  <c r="O23" i="10" s="1"/>
  <c r="C23" i="96"/>
  <c r="C21" i="96" s="1"/>
  <c r="D23" i="95"/>
  <c r="I25" i="80"/>
  <c r="I26" i="80" s="1"/>
  <c r="N13" i="80"/>
  <c r="D23" i="96"/>
  <c r="D21" i="96" s="1"/>
  <c r="E23" i="95"/>
  <c r="G9" i="103" l="1"/>
  <c r="H19" i="102"/>
  <c r="G9" i="95"/>
  <c r="O7" i="10"/>
  <c r="H19" i="92"/>
  <c r="E4" i="96"/>
  <c r="E36" i="96"/>
  <c r="F27" i="96"/>
  <c r="B26" i="96"/>
  <c r="B25" i="96" s="1"/>
  <c r="C8" i="96"/>
  <c r="C7" i="96" s="1"/>
  <c r="H23" i="94"/>
  <c r="H23" i="101"/>
  <c r="D7" i="103"/>
  <c r="D5" i="103"/>
  <c r="H32" i="101"/>
  <c r="H33" i="94"/>
  <c r="H20" i="102"/>
  <c r="G10" i="95"/>
  <c r="O8" i="10"/>
  <c r="G10" i="103"/>
  <c r="H20" i="92"/>
  <c r="F10" i="96"/>
  <c r="B18" i="96"/>
  <c r="G18" i="96" s="1"/>
  <c r="F19" i="96"/>
  <c r="G21" i="103"/>
  <c r="G24" i="95"/>
  <c r="O19" i="10"/>
  <c r="H34" i="92"/>
  <c r="H32" i="102"/>
  <c r="C7" i="95"/>
  <c r="H28" i="94"/>
  <c r="H27" i="101"/>
  <c r="H20" i="101"/>
  <c r="H20" i="94"/>
  <c r="F12" i="96"/>
  <c r="G13" i="95"/>
  <c r="O11" i="10"/>
  <c r="H23" i="102"/>
  <c r="H23" i="92"/>
  <c r="G13" i="103"/>
  <c r="C7" i="103"/>
  <c r="B23" i="96"/>
  <c r="C20" i="103"/>
  <c r="C5" i="103" s="1"/>
  <c r="E7" i="95"/>
  <c r="F9" i="96"/>
  <c r="B8" i="96"/>
  <c r="B24" i="96"/>
  <c r="F24" i="96" s="1"/>
  <c r="C24" i="95"/>
  <c r="C21" i="103"/>
  <c r="H18" i="92"/>
  <c r="G8" i="95"/>
  <c r="O6" i="10"/>
  <c r="H18" i="102"/>
  <c r="G8" i="103"/>
  <c r="P13" i="80"/>
  <c r="P25" i="80" s="1"/>
  <c r="N25" i="80"/>
  <c r="E7" i="103"/>
  <c r="D7" i="95"/>
  <c r="C32" i="96"/>
  <c r="F32" i="96" s="1"/>
  <c r="G25" i="103"/>
  <c r="D25" i="103"/>
  <c r="G27" i="95"/>
  <c r="D27" i="95"/>
  <c r="H36" i="102"/>
  <c r="H37" i="92"/>
  <c r="E5" i="95"/>
  <c r="E22" i="95"/>
  <c r="D22" i="95"/>
  <c r="D5" i="95"/>
  <c r="D36" i="96"/>
  <c r="D6" i="96"/>
  <c r="D4" i="96" s="1"/>
  <c r="C23" i="95"/>
  <c r="C6" i="96"/>
  <c r="H16" i="101" l="1"/>
  <c r="H16" i="94"/>
  <c r="G4" i="95"/>
  <c r="I19" i="92"/>
  <c r="J19" i="92" s="1"/>
  <c r="K19" i="92" s="1"/>
  <c r="I23" i="92"/>
  <c r="J23" i="92" s="1"/>
  <c r="K23" i="92" s="1"/>
  <c r="E6" i="95"/>
  <c r="H16" i="92"/>
  <c r="I18" i="92" s="1"/>
  <c r="H21" i="101"/>
  <c r="H21" i="94"/>
  <c r="I34" i="92"/>
  <c r="J34" i="92" s="1"/>
  <c r="K34" i="92" s="1"/>
  <c r="I37" i="92"/>
  <c r="J37" i="92" s="1"/>
  <c r="K37" i="92" s="1"/>
  <c r="G4" i="103"/>
  <c r="H17" i="101"/>
  <c r="H17" i="94"/>
  <c r="O18" i="10"/>
  <c r="H31" i="102"/>
  <c r="G20" i="103"/>
  <c r="H29" i="101" s="1"/>
  <c r="D6" i="95"/>
  <c r="G8" i="96"/>
  <c r="B7" i="96"/>
  <c r="H30" i="101"/>
  <c r="H32" i="94"/>
  <c r="H18" i="94"/>
  <c r="H18" i="101"/>
  <c r="H34" i="101"/>
  <c r="H35" i="94"/>
  <c r="C30" i="96"/>
  <c r="F23" i="96"/>
  <c r="G23" i="95"/>
  <c r="C5" i="95"/>
  <c r="C6" i="95" s="1"/>
  <c r="C22" i="95"/>
  <c r="H33" i="92"/>
  <c r="I33" i="92" s="1"/>
  <c r="J33" i="92" s="1"/>
  <c r="K33" i="92" s="1"/>
  <c r="I16" i="92" l="1"/>
  <c r="J18" i="92"/>
  <c r="K18" i="92" s="1"/>
  <c r="K14" i="92" s="1"/>
  <c r="K15" i="92" s="1"/>
  <c r="G31" i="95"/>
  <c r="H4" i="95" s="1"/>
  <c r="F6" i="95"/>
  <c r="G7" i="96"/>
  <c r="H38" i="101"/>
  <c r="I20" i="92"/>
  <c r="J20" i="92" s="1"/>
  <c r="K20" i="92" s="1"/>
  <c r="H39" i="94"/>
  <c r="I21" i="94" s="1"/>
  <c r="J21" i="94" s="1"/>
  <c r="K21" i="94" s="1"/>
  <c r="I26" i="92"/>
  <c r="J26" i="92" s="1"/>
  <c r="K26" i="92" s="1"/>
  <c r="I31" i="92"/>
  <c r="J31" i="92" s="1"/>
  <c r="K31" i="92" s="1"/>
  <c r="I38" i="92"/>
  <c r="J38" i="92" s="1"/>
  <c r="K38" i="92" s="1"/>
  <c r="I21" i="92"/>
  <c r="J21" i="92" s="1"/>
  <c r="K21" i="92" s="1"/>
  <c r="I36" i="92"/>
  <c r="J36" i="92" s="1"/>
  <c r="K36" i="92" s="1"/>
  <c r="I24" i="92"/>
  <c r="J24" i="92" s="1"/>
  <c r="K24" i="92" s="1"/>
  <c r="I28" i="92"/>
  <c r="J28" i="92" s="1"/>
  <c r="K28" i="92" s="1"/>
  <c r="I27" i="92"/>
  <c r="J27" i="92" s="1"/>
  <c r="K27" i="92" s="1"/>
  <c r="I35" i="92"/>
  <c r="J35" i="92" s="1"/>
  <c r="K35" i="92" s="1"/>
  <c r="I22" i="92"/>
  <c r="J22" i="92" s="1"/>
  <c r="K22" i="92" s="1"/>
  <c r="I25" i="92"/>
  <c r="J25" i="92" s="1"/>
  <c r="K25" i="92" s="1"/>
  <c r="I30" i="92"/>
  <c r="J30" i="92" s="1"/>
  <c r="K30" i="92" s="1"/>
  <c r="I16" i="101"/>
  <c r="J16" i="101" s="1"/>
  <c r="C36" i="96"/>
  <c r="C4" i="96"/>
  <c r="O4" i="10"/>
  <c r="O27" i="10" s="1"/>
  <c r="P18" i="10" s="1"/>
  <c r="H16" i="102"/>
  <c r="I31" i="102" s="1"/>
  <c r="J31" i="102" s="1"/>
  <c r="K31" i="102" s="1"/>
  <c r="H31" i="94"/>
  <c r="B21" i="96"/>
  <c r="B36" i="96" s="1"/>
  <c r="I18" i="94" l="1"/>
  <c r="J18" i="94" s="1"/>
  <c r="K18" i="94" s="1"/>
  <c r="I17" i="94"/>
  <c r="J17" i="94" s="1"/>
  <c r="K17" i="94" s="1"/>
  <c r="I35" i="94"/>
  <c r="J35" i="94" s="1"/>
  <c r="K35" i="94" s="1"/>
  <c r="I16" i="94"/>
  <c r="H16" i="95"/>
  <c r="H21" i="95"/>
  <c r="H28" i="95"/>
  <c r="H18" i="95"/>
  <c r="H11" i="95"/>
  <c r="H17" i="95"/>
  <c r="G33" i="95"/>
  <c r="H26" i="95"/>
  <c r="H30" i="95"/>
  <c r="H14" i="95"/>
  <c r="H15" i="95"/>
  <c r="H12" i="95"/>
  <c r="H25" i="95"/>
  <c r="H20" i="95"/>
  <c r="H27" i="95"/>
  <c r="H10" i="95"/>
  <c r="H8" i="95"/>
  <c r="H31" i="95" s="1"/>
  <c r="H24" i="95"/>
  <c r="H13" i="95"/>
  <c r="H9" i="95"/>
  <c r="I24" i="94"/>
  <c r="J24" i="94" s="1"/>
  <c r="K24" i="94" s="1"/>
  <c r="I29" i="94"/>
  <c r="J29" i="94" s="1"/>
  <c r="K29" i="94" s="1"/>
  <c r="I38" i="94"/>
  <c r="J38" i="94" s="1"/>
  <c r="K38" i="94" s="1"/>
  <c r="I26" i="94"/>
  <c r="J26" i="94" s="1"/>
  <c r="K26" i="94" s="1"/>
  <c r="I19" i="94"/>
  <c r="J19" i="94" s="1"/>
  <c r="K19" i="94" s="1"/>
  <c r="I36" i="94"/>
  <c r="J36" i="94" s="1"/>
  <c r="K36" i="94" s="1"/>
  <c r="I25" i="94"/>
  <c r="J25" i="94" s="1"/>
  <c r="K25" i="94" s="1"/>
  <c r="I34" i="94"/>
  <c r="J34" i="94" s="1"/>
  <c r="K34" i="94" s="1"/>
  <c r="I22" i="94"/>
  <c r="J22" i="94" s="1"/>
  <c r="K22" i="94" s="1"/>
  <c r="I23" i="94"/>
  <c r="J23" i="94" s="1"/>
  <c r="K23" i="94" s="1"/>
  <c r="I28" i="94"/>
  <c r="J28" i="94" s="1"/>
  <c r="K28" i="94" s="1"/>
  <c r="I33" i="94"/>
  <c r="J33" i="94" s="1"/>
  <c r="K33" i="94" s="1"/>
  <c r="I20" i="94"/>
  <c r="J20" i="94" s="1"/>
  <c r="K20" i="94" s="1"/>
  <c r="H23" i="95"/>
  <c r="I32" i="94"/>
  <c r="J32" i="94" s="1"/>
  <c r="K32" i="94" s="1"/>
  <c r="I31" i="94"/>
  <c r="J31" i="94" s="1"/>
  <c r="K31" i="94" s="1"/>
  <c r="B6" i="96"/>
  <c r="B4" i="96" s="1"/>
  <c r="F4" i="96" s="1"/>
  <c r="F36" i="96"/>
  <c r="G21" i="96"/>
  <c r="I29" i="101"/>
  <c r="J29" i="101" s="1"/>
  <c r="K29" i="101" s="1"/>
  <c r="I36" i="102"/>
  <c r="J36" i="102" s="1"/>
  <c r="K36" i="102" s="1"/>
  <c r="I25" i="102"/>
  <c r="J25" i="102" s="1"/>
  <c r="K25" i="102" s="1"/>
  <c r="I21" i="102"/>
  <c r="J21" i="102" s="1"/>
  <c r="K21" i="102" s="1"/>
  <c r="I26" i="102"/>
  <c r="J26" i="102" s="1"/>
  <c r="K26" i="102" s="1"/>
  <c r="I18" i="102"/>
  <c r="I29" i="102"/>
  <c r="J29" i="102" s="1"/>
  <c r="K29" i="102" s="1"/>
  <c r="I20" i="102"/>
  <c r="J20" i="102" s="1"/>
  <c r="K20" i="102" s="1"/>
  <c r="I32" i="102"/>
  <c r="J32" i="102" s="1"/>
  <c r="K32" i="102" s="1"/>
  <c r="I37" i="102"/>
  <c r="J37" i="102" s="1"/>
  <c r="K37" i="102" s="1"/>
  <c r="I30" i="102"/>
  <c r="J30" i="102" s="1"/>
  <c r="K30" i="102" s="1"/>
  <c r="I34" i="102"/>
  <c r="J34" i="102" s="1"/>
  <c r="K34" i="102" s="1"/>
  <c r="I27" i="102"/>
  <c r="J27" i="102" s="1"/>
  <c r="K27" i="102" s="1"/>
  <c r="I23" i="102"/>
  <c r="J23" i="102" s="1"/>
  <c r="K23" i="102" s="1"/>
  <c r="I19" i="102"/>
  <c r="J19" i="102" s="1"/>
  <c r="K19" i="102" s="1"/>
  <c r="I22" i="102"/>
  <c r="J22" i="102" s="1"/>
  <c r="K22" i="102" s="1"/>
  <c r="I35" i="102"/>
  <c r="J35" i="102" s="1"/>
  <c r="K35" i="102" s="1"/>
  <c r="I24" i="102"/>
  <c r="J24" i="102" s="1"/>
  <c r="K24" i="102" s="1"/>
  <c r="P4" i="10"/>
  <c r="O29" i="10"/>
  <c r="P23" i="10"/>
  <c r="P17" i="10"/>
  <c r="P12" i="10"/>
  <c r="P8" i="10"/>
  <c r="P21" i="10"/>
  <c r="O31" i="10"/>
  <c r="P24" i="10"/>
  <c r="P22" i="10"/>
  <c r="P15" i="10"/>
  <c r="P13" i="10"/>
  <c r="P11" i="10"/>
  <c r="P9" i="10"/>
  <c r="P7" i="10"/>
  <c r="P19" i="10"/>
  <c r="P26" i="10"/>
  <c r="P14" i="10"/>
  <c r="P10" i="10"/>
  <c r="P6" i="10"/>
  <c r="G29" i="103"/>
  <c r="H4" i="103" s="1"/>
  <c r="F6" i="103"/>
  <c r="E6" i="103"/>
  <c r="D6" i="103"/>
  <c r="C6" i="103"/>
  <c r="J16" i="94" l="1"/>
  <c r="K16" i="94" s="1"/>
  <c r="K40" i="94" s="1"/>
  <c r="K41" i="94" s="1"/>
  <c r="I39" i="94"/>
  <c r="E37" i="96"/>
  <c r="F37" i="96"/>
  <c r="D37" i="96"/>
  <c r="B37" i="96"/>
  <c r="C37" i="96"/>
  <c r="P27" i="10"/>
  <c r="G31" i="103"/>
  <c r="H25" i="103"/>
  <c r="H21" i="103"/>
  <c r="H15" i="103"/>
  <c r="H11" i="103"/>
  <c r="H10" i="103"/>
  <c r="H14" i="103"/>
  <c r="H19" i="103"/>
  <c r="H23" i="103"/>
  <c r="H8" i="103"/>
  <c r="H28" i="103"/>
  <c r="H17" i="103"/>
  <c r="H13" i="103"/>
  <c r="H12" i="103"/>
  <c r="H16" i="103"/>
  <c r="H26" i="103"/>
  <c r="H24" i="103"/>
  <c r="H9" i="103"/>
  <c r="H20" i="103"/>
  <c r="G6" i="96"/>
  <c r="I16" i="102"/>
  <c r="J18" i="102"/>
  <c r="K18" i="102" s="1"/>
  <c r="K14" i="102" s="1"/>
  <c r="K15" i="102" s="1"/>
  <c r="I25" i="101"/>
  <c r="J25" i="101" s="1"/>
  <c r="K25" i="101" s="1"/>
  <c r="I24" i="101"/>
  <c r="J24" i="101" s="1"/>
  <c r="K24" i="101" s="1"/>
  <c r="I28" i="101"/>
  <c r="J28" i="101" s="1"/>
  <c r="K28" i="101" s="1"/>
  <c r="I17" i="101"/>
  <c r="J17" i="101" s="1"/>
  <c r="K17" i="101" s="1"/>
  <c r="I32" i="101"/>
  <c r="J32" i="101" s="1"/>
  <c r="K32" i="101" s="1"/>
  <c r="I20" i="101"/>
  <c r="J20" i="101" s="1"/>
  <c r="K20" i="101" s="1"/>
  <c r="I34" i="101"/>
  <c r="J34" i="101" s="1"/>
  <c r="K34" i="101" s="1"/>
  <c r="I27" i="101"/>
  <c r="J27" i="101" s="1"/>
  <c r="K27" i="101" s="1"/>
  <c r="I18" i="101"/>
  <c r="J18" i="101" s="1"/>
  <c r="K18" i="101" s="1"/>
  <c r="I23" i="101"/>
  <c r="J23" i="101" s="1"/>
  <c r="K23" i="101" s="1"/>
  <c r="I37" i="101"/>
  <c r="J37" i="101" s="1"/>
  <c r="K37" i="101" s="1"/>
  <c r="I21" i="101"/>
  <c r="J21" i="101" s="1"/>
  <c r="K21" i="101" s="1"/>
  <c r="I22" i="101"/>
  <c r="J22" i="101" s="1"/>
  <c r="K22" i="101" s="1"/>
  <c r="I19" i="101"/>
  <c r="J19" i="101" s="1"/>
  <c r="K19" i="101" s="1"/>
  <c r="I35" i="101"/>
  <c r="J35" i="101" s="1"/>
  <c r="K35" i="101" s="1"/>
  <c r="I30" i="101"/>
  <c r="J30" i="101" s="1"/>
  <c r="K30" i="101" s="1"/>
  <c r="I33" i="101"/>
  <c r="J33" i="101" s="1"/>
  <c r="K33" i="101" s="1"/>
  <c r="I38" i="101" l="1"/>
  <c r="K16" i="101"/>
  <c r="K39" i="101" s="1"/>
  <c r="K40" i="101" s="1"/>
  <c r="H29" i="103"/>
  <c r="G4" i="96"/>
  <c r="B5" i="96" s="1"/>
  <c r="F5" i="96" l="1"/>
  <c r="E5" i="96"/>
  <c r="D5" i="96"/>
  <c r="C5" i="9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Thanh-TBNL</author>
  </authors>
  <commentList>
    <comment ref="B18" authorId="0" shapeId="0" xr:uid="{00000000-0006-0000-0000-000001000000}">
      <text>
        <r>
          <rPr>
            <b/>
            <sz val="9"/>
            <rFont val="Tahoma"/>
            <family val="2"/>
          </rPr>
          <t>Thanh-TBNL:</t>
        </r>
        <r>
          <rPr>
            <sz val="9"/>
            <rFont val="Tahoma"/>
            <family val="2"/>
          </rPr>
          <t xml:space="preserve">
Công ty hiện đang k sử dụng xăng cho vận chuyển nội bộ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Thanh-TBNL</author>
  </authors>
  <commentList>
    <comment ref="B17" authorId="0" shapeId="0" xr:uid="{00000000-0006-0000-0100-000001000000}">
      <text>
        <r>
          <rPr>
            <b/>
            <sz val="9"/>
            <rFont val="Tahoma"/>
            <family val="2"/>
          </rPr>
          <t>Thanh-TBNL:</t>
        </r>
        <r>
          <rPr>
            <sz val="9"/>
            <rFont val="Tahoma"/>
            <family val="2"/>
          </rPr>
          <t xml:space="preserve">
Công ty hiện đang k sử dụng xăng cho vận chuyển nội bộ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Dang DinhChi</author>
  </authors>
  <commentList>
    <comment ref="C30" authorId="0" shapeId="0" xr:uid="{00000000-0006-0000-1D00-000001000000}">
      <text>
        <r>
          <rPr>
            <b/>
            <sz val="9"/>
            <rFont val="Tahoma"/>
            <family val="2"/>
          </rPr>
          <t>Dang DinhChi:</t>
        </r>
        <r>
          <rPr>
            <sz val="9"/>
            <rFont val="Tahoma"/>
            <family val="2"/>
          </rPr>
          <t xml:space="preserve">
Do hệ số phát thải quốc gia chưa có nên lấy theo IPCC</t>
        </r>
      </text>
    </comment>
  </commentList>
</comments>
</file>

<file path=xl/sharedStrings.xml><?xml version="1.0" encoding="utf-8"?>
<sst xmlns="http://schemas.openxmlformats.org/spreadsheetml/2006/main" count="4082" uniqueCount="1154">
  <si>
    <t>BẢNG TỔNG HỢP MÃ NGUỒN PHÁT THẢI VÀ LOẠI BỎ KHÍ NHÀ KÍNH
NĂM: 2024</t>
  </si>
  <si>
    <t>PHỤ LỤC 2 GHG/QT01/BM01</t>
  </si>
  <si>
    <t>STT</t>
  </si>
  <si>
    <t>Mã nguồn Phát thải, loại bảo KNK</t>
  </si>
  <si>
    <t>Nguồn phát thải/ Loại bỏ KNK</t>
  </si>
  <si>
    <t>Khí nhà kính</t>
  </si>
  <si>
    <t>Tần suất xuất hiện</t>
  </si>
  <si>
    <t>Hạng mục kiểm kê theo NĐ06/NĐ-CP</t>
  </si>
  <si>
    <t>I</t>
  </si>
  <si>
    <t>Cat 1</t>
  </si>
  <si>
    <t xml:space="preserve">Phát thải và loại bỏ KNK trực tiếp </t>
  </si>
  <si>
    <t>1.1</t>
  </si>
  <si>
    <t>Đốt tĩnh</t>
  </si>
  <si>
    <t>1.1.1</t>
  </si>
  <si>
    <t>DO</t>
  </si>
  <si>
    <t>CO2, CH4 và N2O</t>
  </si>
  <si>
    <t>Thường xuyên</t>
  </si>
  <si>
    <t>x</t>
  </si>
  <si>
    <t>1.1.2</t>
  </si>
  <si>
    <t>LPG sản xuất</t>
  </si>
  <si>
    <t>1.1.3</t>
  </si>
  <si>
    <t>LPG nhà bếp</t>
  </si>
  <si>
    <t>1.1.4</t>
  </si>
  <si>
    <t>Methanol</t>
  </si>
  <si>
    <t>CO2</t>
  </si>
  <si>
    <t>1.1.5</t>
  </si>
  <si>
    <t>Xăng</t>
  </si>
  <si>
    <t>1.1.6</t>
  </si>
  <si>
    <t>Dầu hỏa</t>
  </si>
  <si>
    <t>1.1.7</t>
  </si>
  <si>
    <t>Nước thủy tinh (Silicate)</t>
  </si>
  <si>
    <t>1.1.8</t>
  </si>
  <si>
    <t>Sơn khuôn</t>
  </si>
  <si>
    <t>1.1.9</t>
  </si>
  <si>
    <t>Sơn khuôn - Sepanol</t>
  </si>
  <si>
    <t>1.1.10</t>
  </si>
  <si>
    <t>Cồn công nghiệp C2H5OH</t>
  </si>
  <si>
    <t>1.1.11</t>
  </si>
  <si>
    <t>CO2 sử dụng cho kết dính thao</t>
  </si>
  <si>
    <t>1.2</t>
  </si>
  <si>
    <t>Đốt động off-road (Xe vận chuyển nội bộ trong Nhà máy - Không đăng ký biển kiểm soát)</t>
  </si>
  <si>
    <t>1.2.1</t>
  </si>
  <si>
    <t>CO2, CH4, N2O</t>
  </si>
  <si>
    <t>1.2.2</t>
  </si>
  <si>
    <t>1.3</t>
  </si>
  <si>
    <t>Đốt động on-road (Xe vận tải, vận chuyển ngoài đường - Có đăng ký biển kiểm soát) và phát thải phát tán khác</t>
  </si>
  <si>
    <t>1.3.1</t>
  </si>
  <si>
    <t>1.3.2</t>
  </si>
  <si>
    <t>1.4</t>
  </si>
  <si>
    <t>CO2 sử dụng cho bình cứu hỏa, diễn tập PCCC</t>
  </si>
  <si>
    <t>Thỉnh thoảng</t>
  </si>
  <si>
    <t>1.5</t>
  </si>
  <si>
    <t>Môi chất lạnh</t>
  </si>
  <si>
    <t>R22, R32, R410A, R407C,…</t>
  </si>
  <si>
    <t>1.6</t>
  </si>
  <si>
    <t>Xử lý nước thải tập trung</t>
  </si>
  <si>
    <t>1.7</t>
  </si>
  <si>
    <t>Số lượng phân bón sử dụng cho cây</t>
  </si>
  <si>
    <t>1.8</t>
  </si>
  <si>
    <t>Cây xanh (nguồn hấp thụ)</t>
  </si>
  <si>
    <t>II</t>
  </si>
  <si>
    <t>Cat 2</t>
  </si>
  <si>
    <t>Phát thải gián tiếp từ năng lượng nhập khẩu</t>
  </si>
  <si>
    <t>2.1</t>
  </si>
  <si>
    <t>Điện lưới mua về sử dụng tại DISOCO</t>
  </si>
  <si>
    <t>CO2e</t>
  </si>
  <si>
    <t>III</t>
  </si>
  <si>
    <t>Cat 3</t>
  </si>
  <si>
    <t>Phát thải gián tiếp từ hoạt động vận tải</t>
  </si>
  <si>
    <t>3.1</t>
  </si>
  <si>
    <t>Nhiên liệu sử dụng cho hoạt động thuê xe đưa đón cán bộ công nhân viên (DO, xăng)</t>
  </si>
  <si>
    <t>3.2</t>
  </si>
  <si>
    <t>Nhiên liệu sử dụng cho hoạt động cán bộ công nhân viên đi công tác bằng máy bay, tàu hỏa, tàu biển (DO, xăng, nhiên liệu phản lực)</t>
  </si>
  <si>
    <t>3.3</t>
  </si>
  <si>
    <t>Nhiên liệu sử dụng cho hoạt động vận chuyển nguyên vật liệu, hàng hoá từ nhà cung cấp đến Công ty (DO, xăng)</t>
  </si>
  <si>
    <t>3.4</t>
  </si>
  <si>
    <t>Nhiên liệu sử dụng cho hoạt động vận chuyển nguyên vật liệu, hàng hoá từ Công ty đến khách hàng (DO, xăng)</t>
  </si>
  <si>
    <t>3.5</t>
  </si>
  <si>
    <t>Nhiên liệu sử dụng cho hoạt động vận chuyển chất thải của nhà thầu xử lý chất thải (DO)</t>
  </si>
  <si>
    <t>3.6</t>
  </si>
  <si>
    <t>Vận chuyển, đi lại của nhà thầu khác (DO, xăng, điện (xe điện nếu có))</t>
  </si>
  <si>
    <t>3.7</t>
  </si>
  <si>
    <t>Đi làm bằng ô tô, xe máy, xe điện (đạp - máy điện) của công nhân viên (DO, xăng, điện (xe điện nếu có))</t>
  </si>
  <si>
    <t>3.8</t>
  </si>
  <si>
    <t>Môi chất lạnh từ các phương tiện vận chuyển (Môi chất lạnh trong điều hòa của xe)</t>
  </si>
  <si>
    <t>o</t>
  </si>
  <si>
    <t>IV</t>
  </si>
  <si>
    <t>Cat 4</t>
  </si>
  <si>
    <t>Phát thải gián tiếp từ việc tổ chức sử dụng các sản phẩm, dịch vụ.</t>
  </si>
  <si>
    <t>IV.1</t>
  </si>
  <si>
    <t>4.1</t>
  </si>
  <si>
    <t>Thép</t>
  </si>
  <si>
    <t>4.1.1</t>
  </si>
  <si>
    <t>Kim loại và thép cơ bản (basic iron and steel)</t>
  </si>
  <si>
    <t>4.1.2</t>
  </si>
  <si>
    <t>Thép phế (scrap metal)</t>
  </si>
  <si>
    <t>IV.2</t>
  </si>
  <si>
    <t>4.2</t>
  </si>
  <si>
    <t>Cát</t>
  </si>
  <si>
    <t>4.2.1</t>
  </si>
  <si>
    <t>Cát Silica</t>
  </si>
  <si>
    <t>4.2.2</t>
  </si>
  <si>
    <t>Cát nhựa</t>
  </si>
  <si>
    <t>IV.3</t>
  </si>
  <si>
    <t>4.3</t>
  </si>
  <si>
    <t>Phụ gia/ vật tư phụ khác cho đúc</t>
  </si>
  <si>
    <t>4.3.1</t>
  </si>
  <si>
    <t>Chất kết dính (liệt kê theo thư mục con bên dưới, nếu có)</t>
  </si>
  <si>
    <t>4.3.2</t>
  </si>
  <si>
    <t>Chất làm cứng (liệt kê theo thư mục con bên dưới, nếu có)</t>
  </si>
  <si>
    <t>4.3.3</t>
  </si>
  <si>
    <t>Chất hỗ trợ tạo bọt (liệt kê theo thư mục con bên dưới, nếu có)</t>
  </si>
  <si>
    <t>4.3.4</t>
  </si>
  <si>
    <t>Chất chống xỉ (liệt kê theo thư mục con bên dưới, nếu có)</t>
  </si>
  <si>
    <t>4.3.5</t>
  </si>
  <si>
    <t>Chất tăng độ bền nhiệt (liệt kê theo thư mục con bên dưới, nếu có)</t>
  </si>
  <si>
    <t>4.3.6</t>
  </si>
  <si>
    <t>Chất làm lỏng (liệt kê theo thư mục con bên dưới, nếu có)</t>
  </si>
  <si>
    <t>4.3.7</t>
  </si>
  <si>
    <t>Chất làm mịn bề mặt (liệt kê theo thư mục con bên dưới, nếu có)</t>
  </si>
  <si>
    <t>4.3.8</t>
  </si>
  <si>
    <t>Chất khử oxy (liệt kê theo thư mục con bên dưới, nếu có)</t>
  </si>
  <si>
    <t>4.4</t>
  </si>
  <si>
    <t>Hóa chất</t>
  </si>
  <si>
    <t>4.4.1</t>
  </si>
  <si>
    <t>RP7</t>
  </si>
  <si>
    <t>Chưa xác định</t>
  </si>
  <si>
    <t>4.4.2</t>
  </si>
  <si>
    <t>Rỉ mật</t>
  </si>
  <si>
    <t>4.4.3</t>
  </si>
  <si>
    <t>Javen</t>
  </si>
  <si>
    <t>…</t>
  </si>
  <si>
    <t>4.5</t>
  </si>
  <si>
    <t>Vật tư điện - điện tử</t>
  </si>
  <si>
    <t>4.5.1</t>
  </si>
  <si>
    <t>4.5.2</t>
  </si>
  <si>
    <t>4.6</t>
  </si>
  <si>
    <t>Vật tư cơ</t>
  </si>
  <si>
    <t>4.6.1</t>
  </si>
  <si>
    <t>Đá cắt</t>
  </si>
  <si>
    <t>4.6.2</t>
  </si>
  <si>
    <t>Đá mài</t>
  </si>
  <si>
    <t>4.6.3</t>
  </si>
  <si>
    <t>Dao cắt</t>
  </si>
  <si>
    <t>4.6.4</t>
  </si>
  <si>
    <t>Mũi phay</t>
  </si>
  <si>
    <t>4.6.5</t>
  </si>
  <si>
    <t>Mũi khoan</t>
  </si>
  <si>
    <t>4.6.6</t>
  </si>
  <si>
    <t>Trục kẹp</t>
  </si>
  <si>
    <t>4.6.7</t>
  </si>
  <si>
    <t>Ụ xoay</t>
  </si>
  <si>
    <t>4.6.8</t>
  </si>
  <si>
    <t>Spindle</t>
  </si>
  <si>
    <t>4.6.9</t>
  </si>
  <si>
    <t>…..</t>
  </si>
  <si>
    <t>4.7</t>
  </si>
  <si>
    <t>Mua vật khí nén</t>
  </si>
  <si>
    <t>4.7.1</t>
  </si>
  <si>
    <t>4.7.2</t>
  </si>
  <si>
    <t>4.8</t>
  </si>
  <si>
    <t>Dầu thủy lực - bôi trơn</t>
  </si>
  <si>
    <t>4.8.1</t>
  </si>
  <si>
    <t>Dầu bôi trơn hộp giảm tốc loại Caltex G…</t>
  </si>
  <si>
    <t>4.8.2</t>
  </si>
  <si>
    <t>Dầu bôi trơn hộp giảm tốc loại Castrol G…</t>
  </si>
  <si>
    <t>4.9</t>
  </si>
  <si>
    <t>Dầu tưới nguội</t>
  </si>
  <si>
    <t>4.9.1</t>
  </si>
  <si>
    <t>4.9.2</t>
  </si>
  <si>
    <t>4.10</t>
  </si>
  <si>
    <t>Dầu bảo vệ bề mặt</t>
  </si>
  <si>
    <t>4.10.1</t>
  </si>
  <si>
    <t>4.10.2</t>
  </si>
  <si>
    <t>4.11</t>
  </si>
  <si>
    <t>Mua máy gia công</t>
  </si>
  <si>
    <t>4.11.1</t>
  </si>
  <si>
    <t>Máy tiện</t>
  </si>
  <si>
    <t>4.11.2</t>
  </si>
  <si>
    <t>Máy khoan</t>
  </si>
  <si>
    <t>4.11.3</t>
  </si>
  <si>
    <t>Máy sọc</t>
  </si>
  <si>
    <t>4.11.4</t>
  </si>
  <si>
    <t>Máy CNC</t>
  </si>
  <si>
    <t>4.11.5</t>
  </si>
  <si>
    <t>Trung tâm gia công</t>
  </si>
  <si>
    <t>4.12</t>
  </si>
  <si>
    <t>Dịch vụ nhà thầu bảo trì cơ sở hạ tầng, nhà xưởng</t>
  </si>
  <si>
    <t>4.12.1</t>
  </si>
  <si>
    <t>Xây nhà xưởng</t>
  </si>
  <si>
    <t>4.12.2</t>
  </si>
  <si>
    <t>Sửa mái nhà xưởng</t>
  </si>
  <si>
    <t>4.13</t>
  </si>
  <si>
    <t>Dịch vụ bảo trì, duy tu, sửa chữa các máy móc thiết bị</t>
  </si>
  <si>
    <t>4.14</t>
  </si>
  <si>
    <t>Dịch vụ xử lý rác thải của Công ty do nhà cung cấp thực hiện (đốt, chôn lấp, hóa rắn, …)</t>
  </si>
  <si>
    <t>4.15</t>
  </si>
  <si>
    <t>Pallet cho kê, đóng gói sản phẩm (gỗ, nhựa), vật tư bao gói: nilon, màng stretch film, hộp các tông, bìa,..</t>
  </si>
  <si>
    <t>4.15.1</t>
  </si>
  <si>
    <t>Pallet gỗ</t>
  </si>
  <si>
    <t>4.16</t>
  </si>
  <si>
    <t>Thuê dịch vụ bảo vệ</t>
  </si>
  <si>
    <t>4.17</t>
  </si>
  <si>
    <t>Vật tư văn phòng  cho sản xuất và văn phòng (thiết bị văn phòng: máy tính, máy in, máy phôtô copy, cây nước nóng lạnh, tủ đông, tủ lạnh, điều hòa, mực in, giấy, bìa các tông, màng co, băng dính,…)</t>
  </si>
  <si>
    <t>4.18</t>
  </si>
  <si>
    <t>V</t>
  </si>
  <si>
    <t>Cat 5</t>
  </si>
  <si>
    <t>Sử dụng các sản phẩm khác như thực phẩm, nước uống, cơ sở hạ tầng và dịch vụ khác.</t>
  </si>
  <si>
    <t>5.1</t>
  </si>
  <si>
    <t>Việc khách hàng sử dụng các sản phẩm của Công ty và xử lý cuối vòng đời của sản phẩm.</t>
  </si>
  <si>
    <t>BẢNG TỔNG HỢP MÃ NGUỒN PHÁT THẢI VÀ LOẠI BỎ 
KHÍ NHÀ KÍNH
NĂM: 2024</t>
  </si>
  <si>
    <t>Mã nguồn phát thải, loại bỏ KNK</t>
  </si>
  <si>
    <t>Nguồn phát thải/ 
Loại bỏ KNK</t>
  </si>
  <si>
    <t>Tần suất
 xuất hiện</t>
  </si>
  <si>
    <t>Phát thải gián tiếp từ việc tổ chức sử dụng các sản phẩm, dịch vụ</t>
  </si>
  <si>
    <t>BẢNG CÔNG BỐ PHẠM VI KIỂM KÊ KHÍ NHÀ KÍNH CẤP CƠ SỞ
NĂM: 2024</t>
  </si>
  <si>
    <t>GHG/QT01/BM03</t>
  </si>
  <si>
    <t>I. RANH GIỚI TỔ CHỨC</t>
  </si>
  <si>
    <t>1. Tên công ty: Công ty TNHH MTV Diesel Sông Công</t>
  </si>
  <si>
    <t>2. Địa chỉ trụ sở chính: số 362, đường Cách mạng Tháng 10, phường Châu Sơn, thành phố Sông Công, tỉnh Thái Nguyên - Việt Nam</t>
  </si>
  <si>
    <t xml:space="preserve">3. Địa chỉ chi nhánh: </t>
  </si>
  <si>
    <t>70 Lý Chiêu Hoàng, phường 10, Quận 6, thành phố Hồ Chí Minh</t>
  </si>
  <si>
    <t>Phường Sở Dầu, quận Hồng Bàng, thành phố Hải Phòng</t>
  </si>
  <si>
    <t>4. Người đại diện theo Pháp luật: Ông  Nguyễn Đức Tuấn                             Chức vụ: Giám đốc</t>
  </si>
  <si>
    <t xml:space="preserve">5. Giấy phép đăng ký kinh doanh: Mã số 4600100211 </t>
  </si>
  <si>
    <t xml:space="preserve">6. Lĩnh vực sản xuất: Đúc, rèn, gia công cơ khí, lắp ráp </t>
  </si>
  <si>
    <t>7. Nguyên tắc quản lý: Quản lý KNK theo nguyên tắc kiểm soát vận hành</t>
  </si>
  <si>
    <t>II. RANH GIỚI BÁO CÁO</t>
  </si>
  <si>
    <t>Khoảng thời gian kiểm kê: từ 01/01/2023 đến 31/12/2024</t>
  </si>
  <si>
    <t>Các nguồn phát thải và loại bỏ KNK áp dụng tính toán định lượng</t>
  </si>
  <si>
    <t>Mã nguồn Phát thải, loại bỏ KNK</t>
  </si>
  <si>
    <t>Quá trình/ khu vực</t>
  </si>
  <si>
    <t>Máy phát điện</t>
  </si>
  <si>
    <t>Sử dụng cho sản xuất (đốt sấy khuôn, chảo rót, hàn…)</t>
  </si>
  <si>
    <t xml:space="preserve">Sử dụng cho bếp gas </t>
  </si>
  <si>
    <t>Toluen</t>
  </si>
  <si>
    <t>Sử dụng cho quá trình sản xuất, hệ số quy đổi lít ra kg</t>
  </si>
  <si>
    <t>Sử dụng cho cắt cỏ,…</t>
  </si>
  <si>
    <t>Sử dụng cho quá trình ram chi tiết, cần thống kê loại dầu, thời gian tôi các sản phẩm, nhiệt độ phôi đưa vào tôi, nhiệt độ phôi sau tôi, nhiệt độ dầu lúc tôi.</t>
  </si>
  <si>
    <t>Sử dụng cho quá trình trộn hỗn hợp làm thao. Cần phân tích trong thao</t>
  </si>
  <si>
    <t>Sử dụng cho quá trình sơn khuôn (BR-750,…)</t>
  </si>
  <si>
    <t xml:space="preserve">Sử dụng cho quá trình sơn khuôn. </t>
  </si>
  <si>
    <t xml:space="preserve">Sử dụng cho quá trình pha sơn dùng để sơn thao. </t>
  </si>
  <si>
    <t>1.1.12</t>
  </si>
  <si>
    <t xml:space="preserve">Sử dụng cho quá trình kết dính thao. </t>
  </si>
  <si>
    <t>Sử dụng cho xe vận chuyển nội bộ trong nhà máy (cho xe nâng, ...)</t>
  </si>
  <si>
    <t>Sử dụng cho xe vận chuyển nội bộ trong nhà máy (cho xe ...)</t>
  </si>
  <si>
    <t>Sử dụng cho xe vận tải của Công ty (xe tải chở hàng, xe bán tải,…)</t>
  </si>
  <si>
    <t>Sử dụng cho xe chuyên chở CBCNV của Công ty</t>
  </si>
  <si>
    <t>Sử dụng cho bình cứu hỏa, diễn tập PCCC</t>
  </si>
  <si>
    <t>Sử dụng môi chất lạnh cho các điều hòa, cấy nước nóng lạnh, tủ đông/ tủ cấp đá, chiller, máy sấy khí,…</t>
  </si>
  <si>
    <t>Phát thải từ xử lý nước thải công nghiệp, có quan trắc chỉ số Nito tổng và COD ở đầu vào và đầu ra của quá trình (hiếu khí, thiếu khí, kỵ khí)</t>
  </si>
  <si>
    <t>Thống kê số lượng cây xanh, loại cây, tuổi cây và đường kính thân cây D1.3</t>
  </si>
  <si>
    <t>Các quá trình sử dụng điện năng tại DISOCO</t>
  </si>
  <si>
    <t>Nhiên liệu sử dụng DO, xăng</t>
  </si>
  <si>
    <t>Các hoạt động thuê xe đưa đón CBCNV</t>
  </si>
  <si>
    <t>Nhiên liệu sử dụng DO, xăng, nhiên liệu phản lực</t>
  </si>
  <si>
    <t>Các hoạt động cán bộ công nhân viên đi công tác bằng máy bay, tàu hỏa, tàu biển (DO, xăng, nhiên liệu phản lực)</t>
  </si>
  <si>
    <t>Hoạt động vận chuyển nguyên vật liệu, hàng hoá từ nhà cung cấp đến Công t</t>
  </si>
  <si>
    <t>Hoạt động vận chuyển nguyên vật liệu, hàng hoá từ Công ty đến khách hàng</t>
  </si>
  <si>
    <t>Nhiên liệu sử dụng DO</t>
  </si>
  <si>
    <t>Hoạt động vận chuyển chất thải của nhà thầu xử lý chất thải</t>
  </si>
  <si>
    <t>Nhiên liệu sử dụng DO, xăng, điện (xe điện nếu có)</t>
  </si>
  <si>
    <t>Vận chuyển, đi lại của nhà thầu khác</t>
  </si>
  <si>
    <t>Đi làm bằng ô tô, xe máy, xe điện (đạp - máy điện) của công nhân viên</t>
  </si>
  <si>
    <t xml:space="preserve">Môi chất lạnh từ các phương tiện vận chuyển </t>
  </si>
  <si>
    <t>Môi chất lạnh trong điều hòa của các phương tiện vận chuyển</t>
  </si>
  <si>
    <t>Các quá trình sản xuất sử dụng kim loại và thép cơ bản</t>
  </si>
  <si>
    <t>Quá trình xử lý thép phế và nấu luyện kim loại (các lò trung tần nấu thép,...)</t>
  </si>
  <si>
    <t>Quá trình làm khuôn thao</t>
  </si>
  <si>
    <t xml:space="preserve">Chất kết dính </t>
  </si>
  <si>
    <t xml:space="preserve">Chất làm cứng </t>
  </si>
  <si>
    <t>Chất hỗ trợ tạo bọt</t>
  </si>
  <si>
    <t>Quá trình đúc sản phẩm</t>
  </si>
  <si>
    <t xml:space="preserve">Chất chống xỉ </t>
  </si>
  <si>
    <t>Chất tăng độ bền nhiệt</t>
  </si>
  <si>
    <t xml:space="preserve">Chất làm lỏng </t>
  </si>
  <si>
    <t>Chất làm mịn bề mặt</t>
  </si>
  <si>
    <t xml:space="preserve">Chất khử oxy </t>
  </si>
  <si>
    <t>Quá trình bảo dưỡng</t>
  </si>
  <si>
    <t>Quá trình xử lý nước thải</t>
  </si>
  <si>
    <t>Quá trình bảo trì bảo dưỡng máy móc thiết bị</t>
  </si>
  <si>
    <t>Quá trình sản xuất, bảo trì bảo dưỡng máy móc thiết bị</t>
  </si>
  <si>
    <t>Quá trình sản xuất</t>
  </si>
  <si>
    <t>Quá trình xây dựng, mở rộng hay cải tạo nhà xưởng</t>
  </si>
  <si>
    <t>Quá trình sửa chữa mái nhà xưởng</t>
  </si>
  <si>
    <t>Quá trình sử dụng dịch vụ bảo trì, duy tu, sửa chữa các máy móc thiết bị</t>
  </si>
  <si>
    <t>Quá trình sử dụng dịch vụ xử lý rác thải của Công ty do nhà cung cấp thực hiện (đốt, chôn lấp, hóa rắn, …)</t>
  </si>
  <si>
    <t>Quá trình sử dụng Pallet cho kê, đóng gói sản phẩm (gỗ, nhựa), vật tư bao gói: nilon, màng stretch film, hộp các tông, bìa,..</t>
  </si>
  <si>
    <t>Kê, đóng gói sản phẩm</t>
  </si>
  <si>
    <t>...</t>
  </si>
  <si>
    <t>Quá trình sử dụng dịch vụ bảo vệ</t>
  </si>
  <si>
    <t>Vật tư văn phòng cho sản xuất và văn phòng</t>
  </si>
  <si>
    <t>Quá trình sử dụng vật tư văn phòng  cho sản xuất và văn phòng (thiết bị văn phòng: máy tính, máy in, máy phôtô copy, cây nước nóng lạnh, tủ đông, tủ lạnh, điều hòa, mực in, giấy, bìa các tông, màng co, băng dính,…)</t>
  </si>
  <si>
    <t>Sử dụng các sản phẩm của DISOCO</t>
  </si>
  <si>
    <t>Các quá trình mà người sử dụng sử dụng các Sản phẩm của DISOCO cung cấp</t>
  </si>
  <si>
    <t>VI</t>
  </si>
  <si>
    <t>Cat 6</t>
  </si>
  <si>
    <t>Các nguồn phát thải khác</t>
  </si>
  <si>
    <t>Các nguồn phát thải khác chưa được nhận diện ở các Quá trình/ Khu vực ở trên</t>
  </si>
  <si>
    <t>6.1</t>
  </si>
  <si>
    <t>Các nguồn phát thải khác chưa được nhận diện ở các Quá trình/ Khu vực ở trên và chưa được định lượng trong kỳ báo cáo này.</t>
  </si>
  <si>
    <t>III. ĐỐI TƯỢNG SỬ DỤNG BÁO CÁO</t>
  </si>
  <si>
    <t>3.1. Báo cáo nội bộ</t>
  </si>
  <si>
    <t>Bao gồm toàn bộ các biểu mẫu theo các Quy trình từ GHG/QT01 đến GHG/QT03.</t>
  </si>
  <si>
    <t>3.2. Báo cáo bên ngoài</t>
  </si>
  <si>
    <t>Bao gồm các biểu mẫu báo cáo theo Quy định của Pháp luật và các Đối tác khách hàng</t>
  </si>
  <si>
    <t>BẢNG XÁC ĐỊNH MỨC ĐỘ Ý NGHĨA CÁC NGUỒN PHÁT THẢI GIÁN TIẾP KNK
NĂM: 2024</t>
  </si>
  <si>
    <t>Thông tin</t>
  </si>
  <si>
    <r>
      <rPr>
        <b/>
        <sz val="13"/>
        <color theme="0"/>
        <rFont val="Arial"/>
        <family val="2"/>
      </rPr>
      <t>Thuộc yêu cầu của Các cơ quản quản lý nhà nước</t>
    </r>
    <r>
      <rPr>
        <b/>
        <i/>
        <sz val="13"/>
        <color theme="0"/>
        <rFont val="Times New Roman"/>
        <family val="1"/>
      </rPr>
      <t xml:space="preserve"> (R1) </t>
    </r>
  </si>
  <si>
    <t xml:space="preserve">Thuộc yêu cầu của Khách hàng hoặc bên liên quan khác (R2) </t>
  </si>
  <si>
    <t xml:space="preserve">Liên quan đến mục tiêu khí nhà kính (R3) </t>
  </si>
  <si>
    <t xml:space="preserve">Dữ liệu cụ thể cho địa điểm/quá trình (R4) </t>
  </si>
  <si>
    <t>Chi phí để xác định lượng phát thải/loại bỏ KNK từ nguồn (R5)</t>
  </si>
  <si>
    <t>Khả năng để thu thập dữ liệu (R6)</t>
  </si>
  <si>
    <t xml:space="preserve">Hệ số phát thải/ mô hình định lượng (R7) </t>
  </si>
  <si>
    <t xml:space="preserve">Rủi ro và cơ hội khi thực hiện quản lý khí nhà kính (R8) </t>
  </si>
  <si>
    <t>Lượng phát thải hoặc loại bỏ gián tiếp được giả định về mặt định lương Độ lớn (ước tính) của lượng phát thải KNK (R9) 5%</t>
  </si>
  <si>
    <t>Điểm đánh giá</t>
  </si>
  <si>
    <t>Kết luận</t>
  </si>
  <si>
    <t>Trọng số tác động đến mô hình GHG</t>
  </si>
  <si>
    <t>Các tiêu chí đánh giá</t>
  </si>
  <si>
    <r>
      <rPr>
        <sz val="13"/>
        <color theme="1"/>
        <rFont val="Times New Roman"/>
        <family val="1"/>
      </rPr>
      <t xml:space="preserve">Có và bắt buộc áp dụng/ </t>
    </r>
    <r>
      <rPr>
        <i/>
        <sz val="13"/>
        <color theme="1"/>
        <rFont val="Times New Roman"/>
        <family val="1"/>
      </rPr>
      <t>Yes: 3</t>
    </r>
  </si>
  <si>
    <t>Có định lượng rõ cho từng quá trình: 3</t>
  </si>
  <si>
    <t>Chi phí cao ≥ 50 triệu: 1</t>
  </si>
  <si>
    <r>
      <rPr>
        <sz val="13"/>
        <color theme="1"/>
        <rFont val="Times New Roman"/>
        <family val="1"/>
      </rPr>
      <t xml:space="preserve">Dễ/ </t>
    </r>
    <r>
      <rPr>
        <i/>
        <sz val="13"/>
        <color theme="1"/>
        <rFont val="Times New Roman"/>
        <family val="1"/>
      </rPr>
      <t>Easy: 3</t>
    </r>
  </si>
  <si>
    <r>
      <rPr>
        <sz val="13"/>
        <color theme="1"/>
        <rFont val="Times New Roman"/>
        <family val="1"/>
      </rPr>
      <t xml:space="preserve">Có sẵn, phù hợp/ </t>
    </r>
    <r>
      <rPr>
        <i/>
        <sz val="13"/>
        <color theme="1"/>
        <rFont val="Times New Roman"/>
        <family val="1"/>
      </rPr>
      <t>Available, suitable: 3</t>
    </r>
  </si>
  <si>
    <t>Có cơ hội mở rộng thị trường, khách hàng, sản phẩm (tăng trưởng kinh tế): 3</t>
  </si>
  <si>
    <t>R10 ≥ 10%, 3</t>
  </si>
  <si>
    <r>
      <rPr>
        <sz val="13"/>
        <color theme="1"/>
        <rFont val="Times New Roman"/>
        <family val="1"/>
      </rPr>
      <t xml:space="preserve">Có nhưng không bắt buộc áp dụng/ </t>
    </r>
    <r>
      <rPr>
        <i/>
        <sz val="13"/>
        <color theme="1"/>
        <rFont val="Times New Roman"/>
        <family val="1"/>
      </rPr>
      <t>2</t>
    </r>
  </si>
  <si>
    <t>Có định lượng nhưng cho tổng thể địa điểm/ tổng quá trình: 2</t>
  </si>
  <si>
    <t>Chi phí trung bình 10 triệu - 50 triệu: 2</t>
  </si>
  <si>
    <r>
      <rPr>
        <sz val="13"/>
        <color theme="1"/>
        <rFont val="Times New Roman"/>
        <family val="1"/>
      </rPr>
      <t xml:space="preserve">Trung bình/ </t>
    </r>
    <r>
      <rPr>
        <i/>
        <sz val="13"/>
        <color theme="1"/>
        <rFont val="Times New Roman"/>
        <family val="1"/>
      </rPr>
      <t>Medium: 2</t>
    </r>
  </si>
  <si>
    <r>
      <rPr>
        <sz val="13"/>
        <color theme="1"/>
        <rFont val="Times New Roman"/>
        <family val="1"/>
      </rPr>
      <t xml:space="preserve">Có sẵn, không phù hợp phải điều chỉnh/ </t>
    </r>
    <r>
      <rPr>
        <i/>
        <sz val="13"/>
        <color theme="1"/>
        <rFont val="Times New Roman"/>
        <family val="1"/>
      </rPr>
      <t>Available, not suitable must be adjusted: 2</t>
    </r>
  </si>
  <si>
    <t>Có cơ hội nhận hỗ trợ về đầu tư công nghệ, máy móc, thiết bị, nâng cao (tăng trưởng công nghệ - kỹ thuật): 2</t>
  </si>
  <si>
    <t>2% ≤ R10 &lt;10%: 2</t>
  </si>
  <si>
    <r>
      <rPr>
        <sz val="13"/>
        <color theme="1"/>
        <rFont val="Times New Roman"/>
        <family val="1"/>
      </rPr>
      <t xml:space="preserve">Không/ </t>
    </r>
    <r>
      <rPr>
        <i/>
        <sz val="13"/>
        <color theme="1"/>
        <rFont val="Times New Roman"/>
        <family val="1"/>
      </rPr>
      <t>No: 1</t>
    </r>
  </si>
  <si>
    <t>Không có dữ liệu cụ thể: 1</t>
  </si>
  <si>
    <t>Chi phí thấp &lt; 10 triệu: 3</t>
  </si>
  <si>
    <r>
      <rPr>
        <sz val="13"/>
        <color theme="1"/>
        <rFont val="Times New Roman"/>
        <family val="1"/>
      </rPr>
      <t xml:space="preserve">Khó/ </t>
    </r>
    <r>
      <rPr>
        <i/>
        <sz val="13"/>
        <color theme="1"/>
        <rFont val="Times New Roman"/>
        <family val="1"/>
      </rPr>
      <t>Difficult: 1</t>
    </r>
  </si>
  <si>
    <r>
      <rPr>
        <sz val="13"/>
        <color theme="1"/>
        <rFont val="Times New Roman"/>
        <family val="1"/>
      </rPr>
      <t xml:space="preserve">Không có sẵn/ </t>
    </r>
    <r>
      <rPr>
        <i/>
        <sz val="13"/>
        <color theme="1"/>
        <rFont val="Times New Roman"/>
        <family val="1"/>
      </rPr>
      <t>Not available: 1</t>
    </r>
  </si>
  <si>
    <t>Có rủi ro liên quan đến hình ảnh và thương hiệu của Công ty: 1</t>
  </si>
  <si>
    <t xml:space="preserve"> R10 &lt; 2%: 1</t>
  </si>
  <si>
    <t>Mã nguồn phát thải và loại bỏ KNK</t>
  </si>
  <si>
    <t>Nguồn phát thải và loại bỏ KNK</t>
  </si>
  <si>
    <t>Khoảng thời gian kiểm kê: từ 01/01/2024 đến 31/12/2024</t>
  </si>
  <si>
    <t>Dầu hỏa (Kerosene-Oil)</t>
  </si>
  <si>
    <t>Sơn lõi khuôn (BR-750 và Koalid Paste 94I)</t>
  </si>
  <si>
    <t>Sử dụng cho quá trình sơn lõi khuôn</t>
  </si>
  <si>
    <t>CO2 sử dụng cho kết dính thao (core mold)</t>
  </si>
  <si>
    <t>Đốt trong di động</t>
  </si>
  <si>
    <t>DO dùng cho xe nâng</t>
  </si>
  <si>
    <t>Sử dụng cho xe nâng vận chuyển</t>
  </si>
  <si>
    <t>DO dùng cho xe tải và xe car chở CBCNV</t>
  </si>
  <si>
    <t>Sử dụng cho xe vận chuyển</t>
  </si>
  <si>
    <t>1.2.3</t>
  </si>
  <si>
    <t>Xăng dùng cho xe 7 chỗ</t>
  </si>
  <si>
    <t>Phát thải rò rỉ</t>
  </si>
  <si>
    <t>1.3.3</t>
  </si>
  <si>
    <t>1.3.4</t>
  </si>
  <si>
    <t>Hoạt động vận chuyển nguyên vật liệu, hàng hoá từ nhà cung cấp đến Công ty</t>
  </si>
  <si>
    <t>BẢNG TÍNH TOÁN ĐỘ KHÔNG ĐẢM BẢO CÁC NGUỒN PHÁT THẢI KHÍ NHÀ KÍNH
NĂM: 2024</t>
  </si>
  <si>
    <t>GHG/QT03.BM02</t>
  </si>
  <si>
    <t>Cấp chính xác theo Phương pháp thống kê số liệu (M)</t>
  </si>
  <si>
    <t>Cấp chính xác của hệ số phát thải (F)</t>
  </si>
  <si>
    <t>Cách thức
Method</t>
  </si>
  <si>
    <t>Điểm
Point</t>
  </si>
  <si>
    <t>Đo liên tục thông qua các thiết bị đo lường phù hợp
Continuous measurement through suitable measuring devices</t>
  </si>
  <si>
    <t>Hệ số phát thải từ phép đo lường hoặc tính toán cân bằng vật chất
Direct measurement / calculation is not based on emission factor</t>
  </si>
  <si>
    <t>Đo theo tần suất lấy mẫu quy định (Ví dụ: 1 lần/ tháng,…)
Measured according to the specified sampling frequency (e.g., once a month, ...).</t>
  </si>
  <si>
    <t>Hệ số phát thải từ dữ liệu được cung cấp từ nhà cung cấp bên ngoài cho công ty
Emission factor from data provided by an external supplier to the company (published).</t>
  </si>
  <si>
    <t>Hệ số phát thải có điều chỉnh theo đặc thù của ngành được công bố.
Emission factor by industry characteristics (published).</t>
  </si>
  <si>
    <t>Tự thống kê (qua hoá đơn, ghi chép)
Statistically (through invoices, notes)</t>
  </si>
  <si>
    <t>Hệ số phát thải có điều chỉnh theo đặc thù của Quốc gia
The emission factor is adjusted according to the characteristics of the country</t>
  </si>
  <si>
    <t>Ước lượng/ Tính toán
Estimates</t>
  </si>
  <si>
    <t>Hệ số phát thải theo khu vực được công bố.
Emission factor by region (published).</t>
  </si>
  <si>
    <t>Hệ số phát thải theo Quốc tế (IPCC)
International emission factor (IPCC)</t>
  </si>
  <si>
    <t>Mã Nguồn
Source Code</t>
  </si>
  <si>
    <t>Nguồn
Source</t>
  </si>
  <si>
    <t>Phương pháp thống kê số liệu
Statistical methods</t>
  </si>
  <si>
    <t>Điểm (M)
Point (M)</t>
  </si>
  <si>
    <t>Loại hệ số phát thải
Type of emission factor</t>
  </si>
  <si>
    <t>Điểm (F)
Point</t>
  </si>
  <si>
    <t>Điểm cấp chính xác
Point accuracy level
Ui</t>
  </si>
  <si>
    <t>Lượng phát thải CO2e</t>
  </si>
  <si>
    <t>Tỷ lệ % GHG theo nguồn
Ratio % GHG by source
xi</t>
  </si>
  <si>
    <t>Quy đổi
Convert
Ui*xi</t>
  </si>
  <si>
    <t>Quy đổi
Convert
(10^-4)*(Ui*xi)^2</t>
  </si>
  <si>
    <t>Phát thải trực tiếp</t>
  </si>
  <si>
    <t>DO Máy phát điện</t>
  </si>
  <si>
    <t xml:space="preserve">Tự thống kê (qua hoá đơn, ghi chép) </t>
  </si>
  <si>
    <t>QĐ2626/BTNMT</t>
  </si>
  <si>
    <t>Đo theo tần suất lấy mẫu quy định: 01 tháng/ lần</t>
  </si>
  <si>
    <t>LPG nhà ăn</t>
  </si>
  <si>
    <t>IPCC 2006</t>
  </si>
  <si>
    <t>Xăng MCC, PCCC</t>
  </si>
  <si>
    <t>Sơn khuôn BR-750 +sơn thao LOALIDPASTE 94l</t>
  </si>
  <si>
    <t>CO2 cho làm thao</t>
  </si>
  <si>
    <t xml:space="preserve">DO xe nâng </t>
  </si>
  <si>
    <t>Đốt động on-road (Xe vận tải, vận chuyển ngoài đường - Có đăng ký biển kiểm soát)</t>
  </si>
  <si>
    <t>DO xe vận tải nội bộ + bên ngoài</t>
  </si>
  <si>
    <t>Xăng xe vận tải bên ngoài</t>
  </si>
  <si>
    <t>Bình chữa cháy CO2</t>
  </si>
  <si>
    <t xml:space="preserve">TCVN 7026:2013 </t>
  </si>
  <si>
    <t>IPCC 2006 &amp; 2019</t>
  </si>
  <si>
    <t>IPCC 2019</t>
  </si>
  <si>
    <t xml:space="preserve">Tự thống kê (qua ghi chép) </t>
  </si>
  <si>
    <t>Điện năng mua từ lưới điện EVN sử dụng tại DISOCO</t>
  </si>
  <si>
    <t>Đo liên tục thông qua các thiết bị đo lường phù hợp</t>
  </si>
  <si>
    <t>1726/BĐKH-PTCBT</t>
  </si>
  <si>
    <t>TỔNG CỘNG (tấn CO2e)</t>
  </si>
  <si>
    <t>Độ không đảm bảo tổng thể U_total</t>
  </si>
  <si>
    <t>Cấp chính xác của bảng số liệu
The correct level of the data table</t>
  </si>
  <si>
    <t>Cấp chính xác</t>
  </si>
  <si>
    <t>Điểm (x)</t>
  </si>
  <si>
    <t>Mức độ chính xác</t>
  </si>
  <si>
    <t>A</t>
  </si>
  <si>
    <t>x &lt;=1</t>
  </si>
  <si>
    <t>Rất tốt
Very good</t>
  </si>
  <si>
    <t>B</t>
  </si>
  <si>
    <t>1&lt;x&lt;=2</t>
  </si>
  <si>
    <t>Tốt
Good</t>
  </si>
  <si>
    <t>C</t>
  </si>
  <si>
    <t>2&lt;x&lt;=3</t>
  </si>
  <si>
    <t>Trung bình
Medium</t>
  </si>
  <si>
    <t>D</t>
  </si>
  <si>
    <t>3&lt;x&lt;=4</t>
  </si>
  <si>
    <t>Kém
Bad</t>
  </si>
  <si>
    <t>E</t>
  </si>
  <si>
    <t>x&gt;4</t>
  </si>
  <si>
    <t>Rất kém
Very bad</t>
  </si>
  <si>
    <t>BẢNG TÍNH TOÁN ĐỘ KHÔNG ĐẢM BẢO TỔNG THỂ CÁC NGUỒN PHÁT THẢI  KHÍ NHÀ KÍNH
NĂM: 2024</t>
  </si>
  <si>
    <t>Quy đổi
Convert
(10^4)*(Ui*xi)^2</t>
  </si>
  <si>
    <t>Do giá trị tính toán (Ui*xi)^2 nhỏ lên nhân với 10 mũ 4 (hay chính là chia cho 10 mũ -4) và kết quả sau khi khai căn nhân với 10 mũ (-2) để format số các chữ số sau dấu phẩy cho dễ nhìn tránh toàn số 0 sau dấu phẩy. Tự tiệt tiêu do nhân 10^4 trong căn với 10^-2 ngoài căn</t>
  </si>
  <si>
    <t xml:space="preserve">Cấp chính xác của hệ số phát thải (F)
</t>
  </si>
  <si>
    <t>Độ không đảm bảo Cat 1 U_total_Cat 1</t>
  </si>
  <si>
    <t>Độ không đảm bảo Cat 2 U_total_Cat 2</t>
  </si>
  <si>
    <t>BẢNG TÍNH TOÁN ĐỘ KHÔNG ĐẢM BẢO TỪNG NGUỒN PHÁT THẢI  KHÍ NHÀ KÍNH
NĂM: 2024</t>
  </si>
  <si>
    <t>BẢNG ĐỊNH LƯỢNG KHÍ NHÀ KÍNH TỔNG HỢP
NĂM: 2024</t>
  </si>
  <si>
    <t>PHỤ LỤC 6
GHG/QT02/BM01</t>
  </si>
  <si>
    <t>Scopes and categories</t>
  </si>
  <si>
    <t>Metric tons CO2e</t>
  </si>
  <si>
    <t>Total 
(tons CO2 eq.)</t>
  </si>
  <si>
    <t>Ratio 
(%)</t>
  </si>
  <si>
    <t>Phát thải và loại bỏ KNK trực tiếp.</t>
  </si>
  <si>
    <t>CH4</t>
  </si>
  <si>
    <t>N2O</t>
  </si>
  <si>
    <t>HFCs</t>
  </si>
  <si>
    <t>Tổng phát thải</t>
  </si>
  <si>
    <t>Tỉ lệ phát thải (%)</t>
  </si>
  <si>
    <t>DO máy phát điện</t>
  </si>
  <si>
    <t>Xăng cho Máy cắt cỏ, diễn tập PCCC</t>
  </si>
  <si>
    <t>Sơn khuôn BR-750 + Sơn thao Loalidpaste 94L</t>
  </si>
  <si>
    <t>CO2 kết dính thao</t>
  </si>
  <si>
    <t>DO xe nâng</t>
  </si>
  <si>
    <t>DO xe vận tải Nội bộ + Bên ngoài</t>
  </si>
  <si>
    <t>Tên sản phẩm chính</t>
  </si>
  <si>
    <t>Sản lượng (tấn)</t>
  </si>
  <si>
    <t>Tổng phát thải Cat 1 và Cat 2 (Tấn CO2e)</t>
  </si>
  <si>
    <t xml:space="preserve"> Năm 2023 </t>
  </si>
  <si>
    <t xml:space="preserve"> Năm 2024 </t>
  </si>
  <si>
    <t>Tổng sản lượng sản phẩm năm 2024</t>
  </si>
  <si>
    <t>tấn SP</t>
  </si>
  <si>
    <t xml:space="preserve">Sản lượng sản phẩm đúc </t>
  </si>
  <si>
    <t>Chỉ số phát thải trên Sản phẩm quy đổi</t>
  </si>
  <si>
    <t>tấn CO2e/tấn SP</t>
  </si>
  <si>
    <t xml:space="preserve">Sản lượng sản phẩm Rèn </t>
  </si>
  <si>
    <t xml:space="preserve">Sản lượng sản phẩm sản xuất cơ khí </t>
  </si>
  <si>
    <t>Sản lượng sản phẩm sản xuất nhiệt luyện</t>
  </si>
  <si>
    <t>Tổng</t>
  </si>
  <si>
    <r>
      <rPr>
        <sz val="8"/>
        <color rgb="FF262626"/>
        <rFont val="Times New Roman"/>
        <family val="1"/>
      </rPr>
      <t> </t>
    </r>
    <r>
      <rPr>
        <sz val="10"/>
        <color rgb="FF262626"/>
        <rFont val="Times New Roman"/>
        <family val="1"/>
      </rPr>
      <t>Đã Bổ sung số liệu</t>
    </r>
  </si>
  <si>
    <t>Jan</t>
  </si>
  <si>
    <t>Feb</t>
  </si>
  <si>
    <t>Mar</t>
  </si>
  <si>
    <t>Apr</t>
  </si>
  <si>
    <t>May</t>
  </si>
  <si>
    <t>June</t>
  </si>
  <si>
    <t>July</t>
  </si>
  <si>
    <t>August</t>
  </si>
  <si>
    <t>Sep</t>
  </si>
  <si>
    <t>Oct</t>
  </si>
  <si>
    <t>Nov</t>
  </si>
  <si>
    <t>Dec</t>
  </si>
  <si>
    <t xml:space="preserve">Chỉ số phát thải trên Sản phẩm </t>
  </si>
  <si>
    <t>tấn  CO2e/tấn SP</t>
  </si>
  <si>
    <t>Doanh thu năm 2024</t>
  </si>
  <si>
    <t>Tỷ</t>
  </si>
  <si>
    <t xml:space="preserve">Cường độ phát thải trên doanh thu </t>
  </si>
  <si>
    <t>(tấn CO2e/ tỷ VNĐ doanh thu)</t>
  </si>
  <si>
    <t>GHG EMISSION FROM DO FOR GENSET/ 
BẢNG TÍNH PHÁT THẢI DẦU DO CHO MÁY PHÁT ĐIỆN
YEAR/ NĂM: 2024</t>
  </si>
  <si>
    <r>
      <rPr>
        <b/>
        <u/>
        <sz val="13"/>
        <rFont val="Times New Roman"/>
        <family val="1"/>
      </rPr>
      <t>Emission sources:</t>
    </r>
    <r>
      <rPr>
        <sz val="13"/>
        <rFont val="Times New Roman"/>
        <family val="1"/>
      </rPr>
      <t xml:space="preserve"> Direct - Stanby-generator</t>
    </r>
  </si>
  <si>
    <r>
      <rPr>
        <b/>
        <u/>
        <sz val="13"/>
        <rFont val="Times New Roman"/>
        <family val="1"/>
      </rPr>
      <t>GHG Emissions:</t>
    </r>
    <r>
      <rPr>
        <sz val="13"/>
        <rFont val="Times New Roman"/>
        <family val="1"/>
      </rPr>
      <t xml:space="preserve"> CO</t>
    </r>
    <r>
      <rPr>
        <vertAlign val="subscript"/>
        <sz val="13"/>
        <rFont val="Times New Roman"/>
        <family val="1"/>
      </rPr>
      <t>2</t>
    </r>
    <r>
      <rPr>
        <sz val="13"/>
        <rFont val="Times New Roman"/>
        <family val="1"/>
      </rPr>
      <t>, CH</t>
    </r>
    <r>
      <rPr>
        <vertAlign val="subscript"/>
        <sz val="13"/>
        <rFont val="Times New Roman"/>
        <family val="1"/>
      </rPr>
      <t>4</t>
    </r>
    <r>
      <rPr>
        <sz val="13"/>
        <rFont val="Times New Roman"/>
        <family val="1"/>
      </rPr>
      <t>, NO</t>
    </r>
    <r>
      <rPr>
        <vertAlign val="subscript"/>
        <sz val="13"/>
        <rFont val="Times New Roman"/>
        <family val="1"/>
      </rPr>
      <t>2</t>
    </r>
  </si>
  <si>
    <r>
      <rPr>
        <b/>
        <u/>
        <sz val="13"/>
        <rFont val="Times New Roman"/>
        <family val="1"/>
      </rPr>
      <t>Scope:</t>
    </r>
    <r>
      <rPr>
        <sz val="13"/>
        <rFont val="Times New Roman"/>
        <family val="1"/>
      </rPr>
      <t xml:space="preserve"> Scope 1</t>
    </r>
    <r>
      <rPr>
        <vertAlign val="subscript"/>
        <sz val="13"/>
        <rFont val="Times New Roman"/>
        <family val="1"/>
      </rPr>
      <t xml:space="preserve"> </t>
    </r>
    <r>
      <rPr>
        <sz val="13"/>
        <rFont val="Times New Roman"/>
        <family val="1"/>
      </rPr>
      <t>emissions - Direct</t>
    </r>
  </si>
  <si>
    <t>Results calculator:</t>
  </si>
  <si>
    <t>Month</t>
  </si>
  <si>
    <t xml:space="preserve">Usage amount
(Lít)
</t>
  </si>
  <si>
    <t xml:space="preserve">Convert Units
(Gg)
</t>
  </si>
  <si>
    <t xml:space="preserve"> Net calorific value
 (TJ/Gg)
</t>
  </si>
  <si>
    <t xml:space="preserve">Conversion Net Calorific Values
(TJ)
</t>
  </si>
  <si>
    <t>Emissions factors
 (kg of greenhouse gas per TJ on  a Net Calorific Basis)</t>
  </si>
  <si>
    <t>Results calculator</t>
  </si>
  <si>
    <r>
      <rPr>
        <b/>
        <sz val="13"/>
        <rFont val="Times New Roman"/>
        <family val="1"/>
      </rPr>
      <t>CH</t>
    </r>
    <r>
      <rPr>
        <b/>
        <vertAlign val="subscript"/>
        <sz val="13"/>
        <rFont val="Times New Roman"/>
        <family val="1"/>
      </rPr>
      <t>4</t>
    </r>
    <r>
      <rPr>
        <b/>
        <sz val="13"/>
        <rFont val="Times New Roman"/>
        <family val="1"/>
      </rPr>
      <t xml:space="preserve"> emissions in metric kg</t>
    </r>
  </si>
  <si>
    <r>
      <rPr>
        <b/>
        <sz val="13"/>
        <rFont val="Times New Roman"/>
        <family val="1"/>
      </rPr>
      <t>N</t>
    </r>
    <r>
      <rPr>
        <b/>
        <vertAlign val="subscript"/>
        <sz val="13"/>
        <rFont val="Times New Roman"/>
        <family val="1"/>
      </rPr>
      <t>2</t>
    </r>
    <r>
      <rPr>
        <b/>
        <sz val="13"/>
        <rFont val="Times New Roman"/>
        <family val="1"/>
      </rPr>
      <t>O emissions in metric kg</t>
    </r>
  </si>
  <si>
    <t>GWP 100
CH4</t>
  </si>
  <si>
    <t>GWP 100
N2O</t>
  </si>
  <si>
    <r>
      <rPr>
        <b/>
        <sz val="13"/>
        <rFont val="Times New Roman"/>
        <family val="1"/>
      </rPr>
      <t>Total emissions in terms of  CO</t>
    </r>
    <r>
      <rPr>
        <b/>
        <vertAlign val="subscript"/>
        <sz val="13"/>
        <rFont val="Times New Roman"/>
        <family val="1"/>
      </rPr>
      <t>2</t>
    </r>
    <r>
      <rPr>
        <b/>
        <sz val="13"/>
        <rFont val="Times New Roman"/>
        <family val="1"/>
      </rPr>
      <t xml:space="preserve"> equivalents (metric tons)</t>
    </r>
  </si>
  <si>
    <t>kg/TJ CO2</t>
  </si>
  <si>
    <t>kg/TJ CH4</t>
  </si>
  <si>
    <t>kg/TJ N2O</t>
  </si>
  <si>
    <r>
      <rPr>
        <b/>
        <sz val="13"/>
        <rFont val="Times New Roman"/>
        <family val="1"/>
      </rPr>
      <t>CO</t>
    </r>
    <r>
      <rPr>
        <b/>
        <vertAlign val="subscript"/>
        <sz val="13"/>
        <rFont val="Times New Roman"/>
        <family val="1"/>
      </rPr>
      <t>2</t>
    </r>
    <r>
      <rPr>
        <b/>
        <sz val="13"/>
        <rFont val="Times New Roman"/>
        <family val="1"/>
      </rPr>
      <t xml:space="preserve"> emissions in metric kg</t>
    </r>
  </si>
  <si>
    <t>(1)</t>
  </si>
  <si>
    <t>(2)</t>
  </si>
  <si>
    <t>(3) = (2) * 0.84/10^6</t>
  </si>
  <si>
    <t>(4)</t>
  </si>
  <si>
    <t>(5) = (4)*(3)</t>
  </si>
  <si>
    <t>(6)</t>
  </si>
  <si>
    <t>(7)</t>
  </si>
  <si>
    <t>(8)</t>
  </si>
  <si>
    <t>(9) = (5)*(6)</t>
  </si>
  <si>
    <t>(10) = (5)*(7)</t>
  </si>
  <si>
    <t>(11) = (5)*(8)</t>
  </si>
  <si>
    <t>(12)</t>
  </si>
  <si>
    <t>(13)</t>
  </si>
  <si>
    <t>(14) = ((9) + (10)*(12) + (11)*(13))/1000</t>
  </si>
  <si>
    <t>Nguồn thông tin tham khảo:</t>
  </si>
  <si>
    <t>Hệ số chuyển đổi</t>
  </si>
  <si>
    <t>Giá trị</t>
  </si>
  <si>
    <t>Đơn vị</t>
  </si>
  <si>
    <t>Nguồn tham khảo</t>
  </si>
  <si>
    <t xml:space="preserve">Chuyển đổi đơn vị kg/Gg </t>
  </si>
  <si>
    <t>*10^-6</t>
  </si>
  <si>
    <t>kg/Gg</t>
  </si>
  <si>
    <t>SI</t>
  </si>
  <si>
    <t>Tỷ trọng quy đổi dầu DO từ Lít/kg</t>
  </si>
  <si>
    <t>Lít/kg</t>
  </si>
  <si>
    <t>TCVN 6594:2000 (ASTM D 1298 - 90)</t>
  </si>
  <si>
    <t>Hệ số DO máy phát điện</t>
  </si>
  <si>
    <t>Phương pháp áp dụng theo Hướng dẫn của IPCC</t>
  </si>
  <si>
    <t>Nhiệt trị dầu DO đốt tĩnh</t>
  </si>
  <si>
    <t>TJ/Gg</t>
  </si>
  <si>
    <t>Bảng 1.2 Volumn 2 Chapter 1 IPCC 2006</t>
  </si>
  <si>
    <t>Hệ số phát thải CO2</t>
  </si>
  <si>
    <t>kg/TJ</t>
  </si>
  <si>
    <t>Quyết định 2626/QĐ-BTNMT Phụ lục 1 STT1.10</t>
  </si>
  <si>
    <t>Tier1/ Bậc 1</t>
  </si>
  <si>
    <t>Hệ số phát thải CH4</t>
  </si>
  <si>
    <t>Quyết định 2626/QĐ-BTNMT Phụ lục 1 STT1.11</t>
  </si>
  <si>
    <t>Hệ số phát thải N2O</t>
  </si>
  <si>
    <t>Quyết định 2626/QĐ-BTNMT Phụ lục 1 STT1.12</t>
  </si>
  <si>
    <t>Hệ số GWP 100 của CH4</t>
  </si>
  <si>
    <t>Bảng Table 7.SM.7 IPCC_AR6_WGI_Chapter07_SM</t>
  </si>
  <si>
    <t>Hệ số GWP 100 của N2O</t>
  </si>
  <si>
    <t>GHG EMISSION FROM LPG FOR PRODUCTION/
BẢNG TÍNH PHÁT THẢI GAS LPG CHO SẢN XUẤT
YEAR/ NĂM: 2024</t>
  </si>
  <si>
    <r>
      <rPr>
        <b/>
        <u/>
        <sz val="13"/>
        <rFont val="Times New Roman"/>
        <family val="1"/>
      </rPr>
      <t>Emission sources:</t>
    </r>
    <r>
      <rPr>
        <sz val="13"/>
        <rFont val="Times New Roman"/>
        <family val="1"/>
      </rPr>
      <t xml:space="preserve"> Direct - LPG for production</t>
    </r>
  </si>
  <si>
    <t>Usage amount
(kg)</t>
  </si>
  <si>
    <t>Convert Units
(Gg)</t>
  </si>
  <si>
    <t xml:space="preserve"> Net calorific value
 (TJ/Gg)</t>
  </si>
  <si>
    <t>Conversion Net Calorific Values
(TJ)</t>
  </si>
  <si>
    <t>(3) = (2) /10^6</t>
  </si>
  <si>
    <t>Hệ số gas LPG</t>
  </si>
  <si>
    <t>Nhiệt trị gas LPG</t>
  </si>
  <si>
    <t>Quyết định 2626/QĐ-BTNMT Phụ lục 1 STT1.34</t>
  </si>
  <si>
    <t>Quyết định 2626/QĐ-BTNMT Phụ lục 1 STT1.35</t>
  </si>
  <si>
    <t>Quyết định 2626/QĐ-BTNMT Phụ lục 1 STT1.36</t>
  </si>
  <si>
    <t>GHG EMISSION FROM LPG FOR COOKING/
BẢNG TÍNH PHÁT THẢI GAS LPG CHO NẤU ĂN
YEAR/ NĂM: 2024</t>
  </si>
  <si>
    <r>
      <rPr>
        <b/>
        <u/>
        <sz val="13"/>
        <rFont val="Times New Roman"/>
        <family val="1"/>
      </rPr>
      <t>Emission sources:</t>
    </r>
    <r>
      <rPr>
        <sz val="13"/>
        <rFont val="Times New Roman"/>
        <family val="1"/>
      </rPr>
      <t xml:space="preserve"> Direct - LPG for cooking</t>
    </r>
  </si>
  <si>
    <t>Quyết định 2626/QĐ-BTNMT Phụ lục 1 STT1.85</t>
  </si>
  <si>
    <t>Quyết định 2626/QĐ-BTNMT Phụ lục 1 STT1.86</t>
  </si>
  <si>
    <t>Quyết định 2626/QĐ-BTNMT Phụ lục 1 STT1.87</t>
  </si>
  <si>
    <t>GHG EMISSION FROM METHANOL FOR PRODUCTION/
BẢNG TÍNH PHÁT THẢI METHANOL CHO QUÁ TRÌNH SẢN XUẤT
YEAR/NĂM: 2024</t>
  </si>
  <si>
    <r>
      <rPr>
        <b/>
        <u/>
        <sz val="13"/>
        <rFont val="Times New Roman"/>
        <family val="1"/>
      </rPr>
      <t>Emission sources:</t>
    </r>
    <r>
      <rPr>
        <sz val="13"/>
        <rFont val="Times New Roman"/>
        <family val="1"/>
      </rPr>
      <t xml:space="preserve"> Direct - Methanol for production</t>
    </r>
  </si>
  <si>
    <r>
      <rPr>
        <b/>
        <u/>
        <sz val="13"/>
        <rFont val="Times New Roman"/>
        <family val="1"/>
      </rPr>
      <t>GHG Emissions:</t>
    </r>
    <r>
      <rPr>
        <sz val="13"/>
        <rFont val="Times New Roman"/>
        <family val="1"/>
      </rPr>
      <t xml:space="preserve"> CO</t>
    </r>
    <r>
      <rPr>
        <vertAlign val="subscript"/>
        <sz val="13"/>
        <rFont val="Times New Roman"/>
        <family val="1"/>
      </rPr>
      <t>2</t>
    </r>
  </si>
  <si>
    <t>CH3OH Puritiy
(%)</t>
  </si>
  <si>
    <t>Convert CH3OH
(kg)</t>
  </si>
  <si>
    <t>Convert Factor</t>
  </si>
  <si>
    <t>(3)</t>
  </si>
  <si>
    <t>(4) = (2) *(3)</t>
  </si>
  <si>
    <t>(5)</t>
  </si>
  <si>
    <t>(6) = (4)*(5)/1000</t>
  </si>
  <si>
    <t>Phương trình phản ứng đốt cháy hoàn toàn CH3OH</t>
  </si>
  <si>
    <t>2CH3OH +3O2 -&gt; 2CO2 + 4H2O</t>
  </si>
  <si>
    <t>Khối lượng mol nguyên tử theo cân bằng:</t>
  </si>
  <si>
    <t>2*(12+4*1+16) + 3*16*2 -&gt; 2*(12+16*2) + 4*(2*1+16)</t>
  </si>
  <si>
    <t>Hệ số chuyển đổi Methanol sang CO2</t>
  </si>
  <si>
    <t xml:space="preserve"> = 2*(12+16*2)/ (2*(12+4*1+16)) = 1.38</t>
  </si>
  <si>
    <t>Hệ số</t>
  </si>
  <si>
    <t>Ghi chú</t>
  </si>
  <si>
    <t>Khối lượng nguyên tử Carbon</t>
  </si>
  <si>
    <t>Khối lượng nguyên tử Oxygen</t>
  </si>
  <si>
    <t>Khối lượng nguyên tử Hydrogen</t>
  </si>
  <si>
    <r>
      <rPr>
        <b/>
        <u/>
        <sz val="13"/>
        <rFont val="Times New Roman"/>
        <family val="1"/>
      </rPr>
      <t>Emission sources:</t>
    </r>
    <r>
      <rPr>
        <sz val="13"/>
        <rFont val="Times New Roman"/>
        <family val="1"/>
      </rPr>
      <t xml:space="preserve"> Direct - Gasonline for Lawnmower and fire drill</t>
    </r>
  </si>
  <si>
    <t>Usage amount
(Lít)</t>
  </si>
  <si>
    <t>(3) = (2) * 0.74/10^6</t>
  </si>
  <si>
    <t>Tỷ trọng quy đổi xăng từ Lít/kg</t>
  </si>
  <si>
    <t>TCVN 3166:2019</t>
  </si>
  <si>
    <t>Hệ số xăng đốt tĩnh</t>
  </si>
  <si>
    <t xml:space="preserve">Nhiệt trị </t>
  </si>
  <si>
    <t>Quyết định 2626/QĐ-BTNMT Phụ lục 1 STT1.94</t>
  </si>
  <si>
    <t>Quyết định 2626/QĐ-BTNMT Phụ lục 1 STT1.95</t>
  </si>
  <si>
    <t>Quyết định 2626/QĐ-BTNMT Phụ lục 1 STT1.96</t>
  </si>
  <si>
    <t>GHG EMISSION FROM KEROSENE FOR PRODUCTION/
BẢNG TÍNH PHÁT THẢI DẦU HỎA CHO SẢN XUẤT
YEAR/NĂM: 2024</t>
  </si>
  <si>
    <r>
      <rPr>
        <b/>
        <u/>
        <sz val="13"/>
        <rFont val="Times New Roman"/>
        <family val="1"/>
      </rPr>
      <t>Emission sources:</t>
    </r>
    <r>
      <rPr>
        <sz val="13"/>
        <rFont val="Times New Roman"/>
        <family val="1"/>
      </rPr>
      <t xml:space="preserve"> Direct - Kerosene for production</t>
    </r>
  </si>
  <si>
    <t>Burner factor</t>
  </si>
  <si>
    <t>(4) =(3)*(2) * 0.79/10^6</t>
  </si>
  <si>
    <t>Tỷ trọng quy đổi dầu hỏa từ Lít/kg</t>
  </si>
  <si>
    <t>TCVN 6240:2019</t>
  </si>
  <si>
    <t>Hệ số dầu hỏa đốt tĩnh</t>
  </si>
  <si>
    <t>IPCC Volume 2 Chapter 2, Table 2.3</t>
  </si>
  <si>
    <t>GHG EMISSION FROM SODIUM LILICATE FOR PRODUCTION/
BẢNG TÍNH PHÁT THẢI TỪ NƯỚC THỦY TINH CHO SẢN XUẤT
YEAR/NĂM: 2024</t>
  </si>
  <si>
    <r>
      <rPr>
        <b/>
        <u/>
        <sz val="13"/>
        <rFont val="Times New Roman"/>
        <family val="1"/>
      </rPr>
      <t>Emission sources:</t>
    </r>
    <r>
      <rPr>
        <sz val="13"/>
        <rFont val="Times New Roman"/>
        <family val="1"/>
      </rPr>
      <t xml:space="preserve"> Direct - Sodium silicate for production</t>
    </r>
  </si>
  <si>
    <t>Usage amount of Na2SiO3 
(kg)</t>
  </si>
  <si>
    <t>Na2SiO3 Puritiy
(%)</t>
  </si>
  <si>
    <t>Convert Na2SiO3 used
(kg)</t>
  </si>
  <si>
    <t>Phương trình phản ứng ban đầu tạo kết dính thao</t>
  </si>
  <si>
    <t>(1) Na2SiO3 + CO2 -&gt; Na2CO3 + SiO2</t>
  </si>
  <si>
    <t>Phương trình phản ứng phân hủy Na2CO2 ở nhiệt độ cao khi rót kim loại nóng chảy vào ở quá trình đúc</t>
  </si>
  <si>
    <t>(2) Na2CO3 + CO2 -&gt; Na2O + CO2</t>
  </si>
  <si>
    <t>Hệ số chuyển đổi từ lượng nước thủy tinh sử dụng ban đầu (1) rồi phân hủy thành CO2 theo (2)</t>
  </si>
  <si>
    <t xml:space="preserve"> = (12+16*2)/ (23*2+28+16*3) = 0.361</t>
  </si>
  <si>
    <t>Khối lượng nguyên tử Natri</t>
  </si>
  <si>
    <t>Khối lượng nguyên tử Silic</t>
  </si>
  <si>
    <t>GHG EMISSION FROM BR-750 FOR PRODUCTION/
BẢNG TÍNH PHÁT THẢI TỪ SƠN KHUÔN BR-750 CHO SẢN XUẤT
YEAR/NĂM: 2024</t>
  </si>
  <si>
    <r>
      <rPr>
        <b/>
        <u/>
        <sz val="13"/>
        <rFont val="Times New Roman"/>
        <family val="1"/>
      </rPr>
      <t>Emission sources:</t>
    </r>
    <r>
      <rPr>
        <sz val="13"/>
        <rFont val="Times New Roman"/>
        <family val="1"/>
      </rPr>
      <t xml:space="preserve"> Direct - BR-750 for production</t>
    </r>
  </si>
  <si>
    <t>Usage amount of BR-750 
(kg)</t>
  </si>
  <si>
    <t>Khối lượng các thành phần hóa chất theo trọng lượng
(tính theo tỷ lệ % max), kg</t>
  </si>
  <si>
    <t>Convert Factor to CO2 emission according to The complete combustion reaction</t>
  </si>
  <si>
    <t>Adjust Factor reaction to CO2 emission (consider in next year)</t>
  </si>
  <si>
    <t>Conver to CO2 emission</t>
  </si>
  <si>
    <t>Isopropanol</t>
  </si>
  <si>
    <t>Graphite</t>
  </si>
  <si>
    <t>Al2O3</t>
  </si>
  <si>
    <t>SiO2</t>
  </si>
  <si>
    <t>Organic Binder</t>
  </si>
  <si>
    <t>Others</t>
  </si>
  <si>
    <t>5-15%</t>
  </si>
  <si>
    <t>20-30%</t>
  </si>
  <si>
    <t>2-5%</t>
  </si>
  <si>
    <t>25-35%</t>
  </si>
  <si>
    <t>5-10%</t>
  </si>
  <si>
    <t>kg</t>
  </si>
  <si>
    <t>(9)</t>
  </si>
  <si>
    <t>(10)</t>
  </si>
  <si>
    <t>(11)</t>
  </si>
  <si>
    <t>(14)</t>
  </si>
  <si>
    <t>(15)</t>
  </si>
  <si>
    <t>(16)</t>
  </si>
  <si>
    <t>(17)</t>
  </si>
  <si>
    <t>(18)</t>
  </si>
  <si>
    <t>(19) = ((16)+(17)+(18))/1000</t>
  </si>
  <si>
    <t>KHÔNG TÍNH KHỐI LƯỢNG THÀNH PHẦN DO KHÔNG TẠO RA CO2</t>
  </si>
  <si>
    <t>Phương trình phản ứng đốt cháy hoàn toàn Isopropanol (C3H7OH) trong điều kiện dư Oxy</t>
  </si>
  <si>
    <t>(1) C3H7OH + (9/2)O2 -&gt; 3CO2 + 4H2O</t>
  </si>
  <si>
    <t>Phương trình phản ứng đốt cháy hoàn toàn Methanol (CH3OH) trong điều kiện dư Oxy</t>
  </si>
  <si>
    <t>(2) 2CH3OH + 3O2 -&gt; 2CO2 + 4H2O</t>
  </si>
  <si>
    <t>Phương trình phản ứng đốt cháy hoàn toàn Graphite (C) trong điều kiện dư Oxy</t>
  </si>
  <si>
    <t>(3) C + O2 -&gt; CO2</t>
  </si>
  <si>
    <t>Hệ số chuyển đổi từ lượng Isopropanol (C3H7OH) thành CO2 theo (1)</t>
  </si>
  <si>
    <t xml:space="preserve"> = (3*12+3*16*2)/ (12*3+1*8+16*1) = 2.2</t>
  </si>
  <si>
    <t>Hệ số chuyển đổi từ lượng Methanol (CH3OH) thành CO2 theo (2)</t>
  </si>
  <si>
    <t xml:space="preserve"> = (2*12+2*16*2)/ (2*12+2*1*4+2*16) = 1.375</t>
  </si>
  <si>
    <t>Hệ số chuyển đổi từ lượng Graphite (C) thành CO2 theo (3)</t>
  </si>
  <si>
    <t xml:space="preserve"> = (12+16*2)/ (12) = 3.667</t>
  </si>
  <si>
    <t>Khối lượng nguyên tử Hydro</t>
  </si>
  <si>
    <t>GHG EMISSION FROM KOALID PASTE 94L FOR PRODUCTION/
BẢNG TÍNH PHÁT THẢI TỪ SƠN THAO KOALID PASTE 94I CHO SẢN XUẤT
YEAR/NĂM: 2024</t>
  </si>
  <si>
    <r>
      <t>Emission sources:</t>
    </r>
    <r>
      <rPr>
        <sz val="13"/>
        <rFont val="Times New Roman"/>
        <family val="1"/>
      </rPr>
      <t xml:space="preserve"> Direct - Koalid Paste 94I for production</t>
    </r>
  </si>
  <si>
    <t>Usage amount of Koalid Paste
(kg)</t>
  </si>
  <si>
    <t>1.1.8. Sơn khuôn BR-750 2024</t>
  </si>
  <si>
    <t>Tổng 1.1.8. Sơn khuôn BR-750 2024 + 1.1.8. Sơnthao KOALIDPASTE94 24</t>
  </si>
  <si>
    <t>Methyl alcohol</t>
  </si>
  <si>
    <t>Ethyl alcohol</t>
  </si>
  <si>
    <t>Quartz flour</t>
  </si>
  <si>
    <t>Other Non Haz substances</t>
  </si>
  <si>
    <t>10 - 25 %</t>
  </si>
  <si>
    <t>0 - 15%</t>
  </si>
  <si>
    <t>15 - 25%</t>
  </si>
  <si>
    <t>10 - 25%</t>
  </si>
  <si>
    <t>ton CO2e</t>
  </si>
  <si>
    <t>Phương trình phản ứng đốt cháy hoàn toàn Methyl alcohol (CH3OH) trong điều kiện dư Oxy</t>
  </si>
  <si>
    <t>(1) 2CH3OH + 3O2 -&gt; 2CO2 + 4H2O</t>
  </si>
  <si>
    <t>Phương trình phản ứng đốt cháy hoàn toàn Ethyl alcohol (C2H5OH) trong điều kiện dư Oxy</t>
  </si>
  <si>
    <t>(2) C2H5OH + 3O2 -&gt; 2CO2 + 3H2O</t>
  </si>
  <si>
    <t>Hệ số chuyển đổi từ lượng Methyl alcohol (CH3OH) thành CO2 theo (1)</t>
  </si>
  <si>
    <t>Hệ số chuyển đổi từ lượng Ethyl alcohol (C2H5OH) thành CO2 theo (2)</t>
  </si>
  <si>
    <t xml:space="preserve"> = (2*12+2*16*2)/ (2*12+6*1+1*16) = 1.913</t>
  </si>
  <si>
    <t>GHG EMISSION FROM ETHANOL FOR PRODUCTION/
BẢNG TÍNH PHÁT THẢI ETHANOL CHO QUÁ TRÌNH SẢN XUẤT
YEAR/NĂM: 2024</t>
  </si>
  <si>
    <r>
      <rPr>
        <b/>
        <u/>
        <sz val="13"/>
        <rFont val="Times New Roman"/>
        <family val="1"/>
      </rPr>
      <t>Emission sources:</t>
    </r>
    <r>
      <rPr>
        <sz val="13"/>
        <rFont val="Times New Roman"/>
        <family val="1"/>
      </rPr>
      <t xml:space="preserve"> Direct - Ethanol for production</t>
    </r>
  </si>
  <si>
    <t>Usage amount
(lít)</t>
  </si>
  <si>
    <t>Convert Factor lít to kg</t>
  </si>
  <si>
    <t>C2H5OH Puritiy
(%)</t>
  </si>
  <si>
    <t>Convert 2H5OH
(kg)</t>
  </si>
  <si>
    <t>(5) = (2) *(3)*(4)</t>
  </si>
  <si>
    <t>(7) = (5)*(6)/1000</t>
  </si>
  <si>
    <t>Phương trình phản ứng đốt cháy hoàn toàn C2H5OH</t>
  </si>
  <si>
    <t>C2H5OH +3.5O2 -&gt; 2CO2 + 3H2O</t>
  </si>
  <si>
    <t>Hệ số chuyển đổi Ethanol sang CO2</t>
  </si>
  <si>
    <t xml:space="preserve"> = 2*(12+16*2)/ (2*12+6*1+16) = 1.913</t>
  </si>
  <si>
    <t>GHG EMISSION FROM CO2 TANK AND BOTTLES PRODUCTION
BẢNG TÍNH TOÁN LƯỢNG PHÁT THẢI TỪ BỒN VÀ CHAI CO2
NĂM: 2024</t>
  </si>
  <si>
    <r>
      <rPr>
        <b/>
        <u/>
        <vertAlign val="subscript"/>
        <sz val="13"/>
        <rFont val="Times New Roman"/>
        <family val="1"/>
      </rPr>
      <t xml:space="preserve"> </t>
    </r>
    <r>
      <rPr>
        <b/>
        <u/>
        <sz val="13"/>
        <rFont val="Times New Roman"/>
        <family val="1"/>
      </rPr>
      <t>Emission sources:</t>
    </r>
    <r>
      <rPr>
        <sz val="13"/>
        <rFont val="Times New Roman"/>
        <family val="1"/>
      </rPr>
      <t xml:space="preserve"> direct Emissions - CO2 for production</t>
    </r>
  </si>
  <si>
    <r>
      <rPr>
        <b/>
        <u/>
        <sz val="13"/>
        <rFont val="Times New Roman"/>
        <family val="1"/>
      </rPr>
      <t>GHG Emissions:</t>
    </r>
    <r>
      <rPr>
        <sz val="13"/>
        <rFont val="Times New Roman"/>
        <family val="1"/>
      </rPr>
      <t xml:space="preserve"> CO</t>
    </r>
    <r>
      <rPr>
        <vertAlign val="subscript"/>
        <sz val="13"/>
        <rFont val="Times New Roman"/>
        <family val="1"/>
      </rPr>
      <t>2</t>
    </r>
    <r>
      <rPr>
        <sz val="13"/>
        <rFont val="Times New Roman"/>
        <family val="1"/>
      </rPr>
      <t>.</t>
    </r>
  </si>
  <si>
    <r>
      <rPr>
        <b/>
        <u/>
        <sz val="13"/>
        <rFont val="Times New Roman"/>
        <family val="1"/>
      </rPr>
      <t>Scope:</t>
    </r>
    <r>
      <rPr>
        <sz val="13"/>
        <rFont val="Times New Roman"/>
        <family val="1"/>
      </rPr>
      <t xml:space="preserve"> Scope 1</t>
    </r>
    <r>
      <rPr>
        <vertAlign val="subscript"/>
        <sz val="13"/>
        <rFont val="Times New Roman"/>
        <family val="1"/>
      </rPr>
      <t xml:space="preserve"> </t>
    </r>
    <r>
      <rPr>
        <sz val="13"/>
        <rFont val="Times New Roman"/>
        <family val="1"/>
      </rPr>
      <t>emissions - direct</t>
    </r>
  </si>
  <si>
    <t>No.</t>
  </si>
  <si>
    <t>CO2 sử dụng từ bồn
(kg)</t>
  </si>
  <si>
    <t>Hàm lượng CO2 tinh khiết trong bồn theo khối lượng
(%)</t>
  </si>
  <si>
    <t>CO2 sử dụng từ chai 
(kg)</t>
  </si>
  <si>
    <t>Hàm lượng CO2 tinh khiết trong chai theo khối lượng
(%)</t>
  </si>
  <si>
    <t>Tổng lượng CO2 sử dụng từ bồn và chai
(kg)</t>
  </si>
  <si>
    <t>Tổng lượng CO2 tính theo lượng nước thủy tinh sử dụng
(tấn)</t>
  </si>
  <si>
    <t>Lượng CO2 thất thoát</t>
  </si>
  <si>
    <t>Phát thải GHG
(tấn CO2)</t>
  </si>
  <si>
    <t>(10)=(9) /1000</t>
  </si>
  <si>
    <t>Phương trình phản ứng phân hủy Na2CO3 ở nhiệt độ cao khi rót kim loại nóng chảy vào ở quá trình đúc</t>
  </si>
  <si>
    <t>Tính lượng CO2 tạo thành từ lượng nước thủy tinh sử dụng theo (1) và (2)</t>
  </si>
  <si>
    <t>mCO2_nước thủy tinh = (mNa2SiO3_used/(23*2+28+16*3))*44</t>
  </si>
  <si>
    <t>Tính  tổng lượng CO2 sử dụng từ bồn và chai</t>
  </si>
  <si>
    <t>mCO2_tổng= mCO2_bồn + mCO2_chai</t>
  </si>
  <si>
    <t>Tính  lượng CO2 thất thoát</t>
  </si>
  <si>
    <t>mCO2_emission= mCO2_tổng - mCO2_nước thủy tinh</t>
  </si>
  <si>
    <t>EMISSION FROM OIL FOR FORKLIFT/
BẢNG TÍNH PHÁT THẢI DẦU DO CHO XE NÂNG
NĂM: 2024</t>
  </si>
  <si>
    <r>
      <rPr>
        <b/>
        <u/>
        <sz val="13"/>
        <rFont val="Times New Roman"/>
        <family val="1"/>
      </rPr>
      <t>Emission sources:</t>
    </r>
    <r>
      <rPr>
        <sz val="13"/>
        <rFont val="Times New Roman"/>
        <family val="1"/>
      </rPr>
      <t xml:space="preserve"> Direct - DO for forklift</t>
    </r>
  </si>
  <si>
    <t>Hệ số DO xe cẩu lốp nội bộ trong nhà máy đốt động OFF ROAD</t>
  </si>
  <si>
    <t xml:space="preserve">Nhiệt trị dầu DO </t>
  </si>
  <si>
    <t>Bảng 3.3.1 Volume 2 Chapter 3 IPCC 2006</t>
  </si>
  <si>
    <r>
      <rPr>
        <b/>
        <u/>
        <sz val="13"/>
        <rFont val="Times New Roman"/>
        <family val="1"/>
      </rPr>
      <t>Emission sources:</t>
    </r>
    <r>
      <rPr>
        <sz val="13"/>
        <rFont val="Times New Roman"/>
        <family val="1"/>
      </rPr>
      <t xml:space="preserve"> Direct - DO for transportation</t>
    </r>
  </si>
  <si>
    <t>Hệ số DO xe vận chuyển bên ngoài nhà máy đốt động ON ROAD</t>
  </si>
  <si>
    <t>Quyết định 2626/QĐ-BTNMT Phụ lục 1 STT1.46</t>
  </si>
  <si>
    <t>Quyết định 2626/QĐ-BTNMT Phụ lục 1 STT1.47</t>
  </si>
  <si>
    <t>Quyết định 2626/QĐ-BTNMT Phụ lục 1 STT1.48</t>
  </si>
  <si>
    <t>EMISSION FROM DO FOR COMPANY'S OUTSIDE TRANSPORT VEHICLES/
BẢNG TÍNH PHÁT THẢI DẦU DO CHO XE VẬN TẢI BÊN NGOÀI CỦA CÔNG TY
NĂM: 2024</t>
  </si>
  <si>
    <t>1.2.1 DOXevậntải NB 2024</t>
  </si>
  <si>
    <t>Tổng 1.3.1 DOXevậntải BN Onroad 2024 +  1..1 DOXevậntải NB 2024</t>
  </si>
  <si>
    <t>EMISSION FROM GASOLINE  FOR COMPANY TRANSPORT VEHICLES/
BẢNG TÍNH PHÁT THẢI XĂNG CHO XE VẬN TẢI CỦA CÔNG TY
NĂM: 2024</t>
  </si>
  <si>
    <r>
      <rPr>
        <b/>
        <u/>
        <sz val="13"/>
        <rFont val="Times New Roman"/>
        <family val="1"/>
      </rPr>
      <t>Emission sources:</t>
    </r>
    <r>
      <rPr>
        <sz val="13"/>
        <rFont val="Times New Roman"/>
        <family val="1"/>
      </rPr>
      <t xml:space="preserve"> Direct - Gasonline for transportation</t>
    </r>
  </si>
  <si>
    <t xml:space="preserve">Emissions factors
 (kg of greenhouse gas per TJ on  a Net Calorific Basis)
</t>
  </si>
  <si>
    <t>Hệ số xăng xe vận chuyển bên ngoài nhà máy đốt động ON ROAD</t>
  </si>
  <si>
    <t>Nhiệt trị xăng</t>
  </si>
  <si>
    <t>Bảng 1.2 Volume 2 Chapter 1 IPCC 2006</t>
  </si>
  <si>
    <t>Quyết định 2626/QĐ-BTNMT Phụ lục 1 STT1.49</t>
  </si>
  <si>
    <t>Quyết định 2626/QĐ-BTNMT Phụ lục 1 STT1.50</t>
  </si>
  <si>
    <t>Quyết định 2626/QĐ-BTNMT Phụ lục 1 STT1.51</t>
  </si>
  <si>
    <t>EMISSION FROM FIRE EXTINGUISHER/ 
BẢNG TÍNH TOÁN LƯỢNG PHÁT THẢI TỪ BÌNH CHỮA CHÁY CO2
NĂM: 2024</t>
  </si>
  <si>
    <r>
      <rPr>
        <b/>
        <u/>
        <vertAlign val="subscript"/>
        <sz val="13"/>
        <rFont val="Times New Roman"/>
        <family val="1"/>
      </rPr>
      <t xml:space="preserve"> </t>
    </r>
    <r>
      <rPr>
        <b/>
        <u/>
        <sz val="13"/>
        <rFont val="Times New Roman"/>
        <family val="1"/>
      </rPr>
      <t>Emission sources:</t>
    </r>
    <r>
      <rPr>
        <sz val="13"/>
        <rFont val="Times New Roman"/>
        <family val="1"/>
      </rPr>
      <t xml:space="preserve"> direct Emissions - fire extinguisher</t>
    </r>
  </si>
  <si>
    <t>CO2 trong bình cứu hỏa
(kg)</t>
  </si>
  <si>
    <t>CO2 sử dụng diễn tập PCCC
(kg)</t>
  </si>
  <si>
    <t>Hệ số rò rỉ trung bình
(%/tháng)</t>
  </si>
  <si>
    <t>Tổng lượng CO2 phát thải
(kg)</t>
  </si>
  <si>
    <t>(7)=(6) /1000</t>
  </si>
  <si>
    <t>TỔNG</t>
  </si>
  <si>
    <r>
      <rPr>
        <b/>
        <u/>
        <sz val="13"/>
        <rFont val="Times New Roman"/>
        <family val="1"/>
      </rPr>
      <t>Note:</t>
    </r>
    <r>
      <rPr>
        <sz val="13"/>
        <rFont val="Times New Roman"/>
        <family val="1"/>
      </rPr>
      <t xml:space="preserve"> Năm 2024 Công ty diễn tập PCCC sử dụng bình bột MFZ8 không phải bình chữa cháy khí CO2.</t>
    </r>
  </si>
  <si>
    <t xml:space="preserve">Chuyển đổi đơn vị kg/tấn </t>
  </si>
  <si>
    <t>*10^-3</t>
  </si>
  <si>
    <t>Hệ số tính toán</t>
  </si>
  <si>
    <t xml:space="preserve">Hệ số rò rỉ hàng năm của bình chữa cháy CO2 được lấy tối đa theo TCVN 7026:2013 </t>
  </si>
  <si>
    <t xml:space="preserve">Hệ số rò rỉ trung bình theo tháng của bình chữa cháy CO2 </t>
  </si>
  <si>
    <t>EMISSION FROM REFRIGERANT/
BẢNG TÍNH TOÁN LƯỢNG PHÁT THẢI TỪ MÔI CHẤT LẠNH
YEAR/NĂM: 2024</t>
  </si>
  <si>
    <t>Determine HFC and PFC Emissions from Operation of Refrigeration Equipment</t>
  </si>
  <si>
    <r>
      <rPr>
        <b/>
        <sz val="13"/>
        <rFont val="Times New Roman"/>
        <family val="1"/>
      </rPr>
      <t>Emission sources</t>
    </r>
    <r>
      <rPr>
        <sz val="13"/>
        <rFont val="Times New Roman"/>
        <family val="1"/>
      </rPr>
      <t>: Direct - Operation of Refrigeration Equipment</t>
    </r>
  </si>
  <si>
    <r>
      <rPr>
        <b/>
        <sz val="13"/>
        <rFont val="Times New Roman"/>
        <family val="1"/>
      </rPr>
      <t>GHG Emissions:</t>
    </r>
    <r>
      <rPr>
        <sz val="13"/>
        <rFont val="Times New Roman"/>
        <family val="1"/>
      </rPr>
      <t xml:space="preserve"> CO2e</t>
    </r>
  </si>
  <si>
    <r>
      <rPr>
        <b/>
        <sz val="13"/>
        <rFont val="Times New Roman"/>
        <family val="1"/>
      </rPr>
      <t>Scope:</t>
    </r>
    <r>
      <rPr>
        <sz val="13"/>
        <rFont val="Times New Roman"/>
        <family val="1"/>
      </rPr>
      <t xml:space="preserve"> Scope 1 emissions – Direct</t>
    </r>
  </si>
  <si>
    <t>Môi chất</t>
  </si>
  <si>
    <t>Loại thiết bị lạnh</t>
  </si>
  <si>
    <t>Dữ liệu tính toán</t>
  </si>
  <si>
    <t>Tháng</t>
  </si>
  <si>
    <t>Lượng phát thải
(kg CO2e)</t>
  </si>
  <si>
    <t>Lượng phát thải
(tấn CO2e)</t>
  </si>
  <si>
    <t>Table 2. Default Assumptions from IPCC Good Practice Guidelines*</t>
  </si>
  <si>
    <t>Application</t>
  </si>
  <si>
    <t>Charge (kg)</t>
  </si>
  <si>
    <t>Lifetime (years)</t>
  </si>
  <si>
    <t>Emission Factors (% of initial charge/yr)</t>
  </si>
  <si>
    <t>R-22</t>
  </si>
  <si>
    <t>Chiller</t>
  </si>
  <si>
    <t>Khối lượng</t>
  </si>
  <si>
    <t>Tồn chứa (kg)</t>
  </si>
  <si>
    <t>Nạp (kg)</t>
  </si>
  <si>
    <t>Assembly</t>
  </si>
  <si>
    <t>Annual Leakage Rate</t>
  </si>
  <si>
    <t>Recycling Efficiency</t>
  </si>
  <si>
    <t>GWP 100
R-22</t>
  </si>
  <si>
    <t>Domestic Refrigeration</t>
  </si>
  <si>
    <t>0.05 - 0.5</t>
  </si>
  <si>
    <t>12 - 15</t>
  </si>
  <si>
    <t>0.2 - 1 %</t>
  </si>
  <si>
    <t>0.1 - 0.5 %</t>
  </si>
  <si>
    <t>70% of remainder</t>
  </si>
  <si>
    <t>R-32</t>
  </si>
  <si>
    <t>Tồn chứa(kg)</t>
  </si>
  <si>
    <t>Stand-Alone Commercial Applications</t>
  </si>
  <si>
    <t>0.2 - 6</t>
  </si>
  <si>
    <t>8 - 12</t>
  </si>
  <si>
    <t>0.5 - 3 %</t>
  </si>
  <si>
    <t>1 - 10 %</t>
  </si>
  <si>
    <t>70 - 80% of the remainder</t>
  </si>
  <si>
    <t>Medium and Large Commercial refrigeration</t>
  </si>
  <si>
    <t>50 - 2000</t>
  </si>
  <si>
    <t>7 - 10</t>
  </si>
  <si>
    <t>10 - 30 %</t>
  </si>
  <si>
    <t>80 - 90% of remainder</t>
  </si>
  <si>
    <t>GWP 100
R-32</t>
  </si>
  <si>
    <t>Transport Refrigeration</t>
  </si>
  <si>
    <t>3.0 - 8.0</t>
  </si>
  <si>
    <t>6 - 9</t>
  </si>
  <si>
    <t>15 - 50 %</t>
  </si>
  <si>
    <t>70 - 80% of remainder</t>
  </si>
  <si>
    <t>R-134a 
(hay HFC-134a)</t>
  </si>
  <si>
    <t>Industrial Refrigeration including Food Processing and Cold Storage</t>
  </si>
  <si>
    <t>10 - 10000</t>
  </si>
  <si>
    <t>10 - 20</t>
  </si>
  <si>
    <t>7 - 25 %</t>
  </si>
  <si>
    <t>Chillers</t>
  </si>
  <si>
    <t>10.0 - 2000</t>
  </si>
  <si>
    <t>10 - 30</t>
  </si>
  <si>
    <t>2 - 15 %</t>
  </si>
  <si>
    <t>80 - 95% of remainder</t>
  </si>
  <si>
    <t>R-134a</t>
  </si>
  <si>
    <t>GWP 100</t>
  </si>
  <si>
    <t>Residential and Commercial A/C, including Heat Pumps</t>
  </si>
  <si>
    <t>0.5 - 100</t>
  </si>
  <si>
    <t>10 - 15</t>
  </si>
  <si>
    <t>1 - 5 %</t>
  </si>
  <si>
    <t>R-407C</t>
  </si>
  <si>
    <t>Tỷ lệ thành phần R-407C</t>
  </si>
  <si>
    <t>23% 
R-32</t>
  </si>
  <si>
    <t>25% 
R-125</t>
  </si>
  <si>
    <t>52% 
R-134a</t>
  </si>
  <si>
    <t>GWP 100 theo thành phần R-407C</t>
  </si>
  <si>
    <t>R-125</t>
  </si>
  <si>
    <t>R-410A</t>
  </si>
  <si>
    <t>Tỷ lệ thành phần R-410A</t>
  </si>
  <si>
    <t>50% R-32</t>
  </si>
  <si>
    <t>50% R-125</t>
  </si>
  <si>
    <t>GWP 100 theo thành phần R-410A</t>
  </si>
  <si>
    <t xml:space="preserve">  R-32</t>
  </si>
  <si>
    <t>HF0 R1234yf</t>
  </si>
  <si>
    <t>R1234yf</t>
  </si>
  <si>
    <t>Thiết bị lạnh dân dụng</t>
  </si>
  <si>
    <t>R600</t>
  </si>
  <si>
    <t>GWP 100
R-600</t>
  </si>
  <si>
    <t>R-600</t>
  </si>
  <si>
    <t>R600a</t>
  </si>
  <si>
    <t>GWP 100
R-600a</t>
  </si>
  <si>
    <t>R-600a</t>
  </si>
  <si>
    <t>Tổng phát thải từ môi chất (tấn CO2e)</t>
  </si>
  <si>
    <t>Chuyển đổi đơn vị kg/tấn</t>
  </si>
  <si>
    <t>Hệ số tra cứu</t>
  </si>
  <si>
    <t>Hệ số rò rỉ (% of initial charge/year)</t>
  </si>
  <si>
    <t>%</t>
  </si>
  <si>
    <t>Bảng Table 7.9 Chapter 7, Volume 3, IPCC 2006</t>
  </si>
  <si>
    <t>Hệ số rò rỉ của thiết bị lạnh công nghiệp như Chiller,... (%
/year</t>
  </si>
  <si>
    <t>Hệ số GWP 100 của R-22</t>
  </si>
  <si>
    <t>Hệ số GWP 100 của R-32</t>
  </si>
  <si>
    <t>Hệ số GWP 100 của R-125</t>
  </si>
  <si>
    <t>Hệ số GWP 100 của R-134a</t>
  </si>
  <si>
    <t>Hệ số GWP 100 của R-143a</t>
  </si>
  <si>
    <t>Hệ số GWP 100 của R-600</t>
  </si>
  <si>
    <t>Tra theo datasheet của Nhà sản xuất N-BUTANE</t>
  </si>
  <si>
    <t>Hệ số GWP 100 của R-600a</t>
  </si>
  <si>
    <t>Tra theo datasheet của Nhà sản xuất ISOBUTANE</t>
  </si>
  <si>
    <t>Hệ số GWP 100 của HFO-1234yf</t>
  </si>
  <si>
    <t>Bảng Table 7.SM.7 IPCC_AR6_WGI_Chapter_07_Supplementary_Material</t>
  </si>
  <si>
    <t>Tỷ lệ thành phần của R-407C</t>
  </si>
  <si>
    <t>HFC-32/HFC-125/HFC-134a = 23.0/25.0/52.0</t>
  </si>
  <si>
    <t>Bảng Table 7.8 Blends 19R_Ch07_ODS_Substitutes</t>
  </si>
  <si>
    <t>Tỷ lệ thành phần của R-410A</t>
  </si>
  <si>
    <t>HFC-32/HFC-125 = 50.0/50.0</t>
  </si>
  <si>
    <t>BẢNG TÍNH TOÁN LƯỢNG PHÁT THẢI 
TỪ HỆ THỐNG XỬ LÝ NƯỚC THẢI SƠ BỘ 
NĂM:2024</t>
  </si>
  <si>
    <r>
      <rPr>
        <b/>
        <sz val="13"/>
        <rFont val="Times New Roman"/>
        <family val="1"/>
      </rPr>
      <t xml:space="preserve">Department/ </t>
    </r>
    <r>
      <rPr>
        <b/>
        <i/>
        <sz val="13"/>
        <rFont val="Times New Roman"/>
        <family val="1"/>
      </rPr>
      <t>Bộ phận</t>
    </r>
    <r>
      <rPr>
        <b/>
        <sz val="13"/>
        <rFont val="Times New Roman"/>
        <family val="1"/>
      </rPr>
      <t>: Toàn Công ty</t>
    </r>
  </si>
  <si>
    <r>
      <rPr>
        <b/>
        <sz val="13"/>
        <rFont val="Times New Roman"/>
        <family val="1"/>
      </rPr>
      <t xml:space="preserve">Type 1/Nhóm 1: </t>
    </r>
    <r>
      <rPr>
        <i/>
        <sz val="13"/>
        <rFont val="Times New Roman"/>
        <family val="1"/>
      </rPr>
      <t>Phát thải và loại bỏ KNK trực tiếp/Direct GHG emissions and removals</t>
    </r>
  </si>
  <si>
    <r>
      <rPr>
        <b/>
        <sz val="13"/>
        <rFont val="Times New Roman"/>
        <family val="1"/>
      </rPr>
      <t>Rò rỉ CH4 và N2O  từ hệ thống nước thải sinh hoạt/</t>
    </r>
    <r>
      <rPr>
        <i/>
        <sz val="13"/>
        <rFont val="Times New Roman"/>
        <family val="1"/>
      </rPr>
      <t>CH4 and N2O leak from sump system</t>
    </r>
  </si>
  <si>
    <r>
      <rPr>
        <b/>
        <sz val="13"/>
        <rFont val="Times New Roman"/>
        <family val="1"/>
      </rPr>
      <t>Loại KNK /GHG Emissions:</t>
    </r>
    <r>
      <rPr>
        <sz val="13"/>
        <rFont val="Times New Roman"/>
        <family val="1"/>
      </rPr>
      <t xml:space="preserve"> CH4 và N2O/ CH4 and N2O</t>
    </r>
  </si>
  <si>
    <t>1. Bảng tính toán phát thải do rò rỉ CH4</t>
  </si>
  <si>
    <r>
      <rPr>
        <b/>
        <sz val="13"/>
        <rFont val="Times New Roman"/>
        <family val="1"/>
      </rPr>
      <t xml:space="preserve">Tổng số giờ làm
</t>
    </r>
    <r>
      <rPr>
        <b/>
        <i/>
        <sz val="13"/>
        <rFont val="Times New Roman"/>
        <family val="1"/>
      </rPr>
      <t>(số người * số giờ)</t>
    </r>
  </si>
  <si>
    <t>BOD(gram/ 1 người/1 ngày)</t>
  </si>
  <si>
    <t>BOD(gram/ 1 người/1 giờ)</t>
  </si>
  <si>
    <t>Tổng BOD nơi làm việc
(g)</t>
  </si>
  <si>
    <t>TOW (KgBOD)</t>
  </si>
  <si>
    <t>Bo (KgCH4/KgBOD)</t>
  </si>
  <si>
    <t>MCF</t>
  </si>
  <si>
    <r>
      <rPr>
        <b/>
        <sz val="13"/>
        <rFont val="Times New Roman"/>
        <family val="1"/>
      </rPr>
      <t xml:space="preserve">Tổng CH4 (kg)
</t>
    </r>
    <r>
      <rPr>
        <b/>
        <i/>
        <sz val="13"/>
        <rFont val="Times New Roman"/>
        <family val="1"/>
      </rPr>
      <t>Total CH4 (kg)</t>
    </r>
  </si>
  <si>
    <t>GWP 100 CH4</t>
  </si>
  <si>
    <r>
      <rPr>
        <b/>
        <sz val="13"/>
        <rFont val="Times New Roman"/>
        <family val="1"/>
      </rPr>
      <t xml:space="preserve">Tổng CO2e (Tấn)
</t>
    </r>
    <r>
      <rPr>
        <b/>
        <i/>
        <sz val="13"/>
        <rFont val="Times New Roman"/>
        <family val="1"/>
      </rPr>
      <t>Total CO2 (ton)</t>
    </r>
  </si>
  <si>
    <t>Tổng CO2e (tấn)
 2. Bảng tính toán phát thải do rò rỉ N2O</t>
  </si>
  <si>
    <t>(4)= (3)/24</t>
  </si>
  <si>
    <t>(5)=(2)*(4)</t>
  </si>
  <si>
    <t>(6) = (5)/1000</t>
  </si>
  <si>
    <t>(9)=6*7*8</t>
  </si>
  <si>
    <t>(11)=(9)*(10)/1000</t>
  </si>
  <si>
    <t>Tổng CO2e (tấn)</t>
  </si>
  <si>
    <t>TỔNG CỘNG
CO2e (tấn)</t>
  </si>
  <si>
    <t>TỔNG CỘNG N2O ra CO2e (tấn)</t>
  </si>
  <si>
    <t>2. Bảng tính toán phát thải do rò rỉ N2O</t>
  </si>
  <si>
    <t>Lượng protein phát sinh ra từ mỗi người (g/người/ngày) (https://www.fao.org/faostat/en/#data/FBSH)</t>
  </si>
  <si>
    <t>Lượng protein phát sinh ra từ mỗi người (g/người/giờ)</t>
  </si>
  <si>
    <t>Tổng lượng protein phát sinh được đưa vào hệ thống (kg)</t>
  </si>
  <si>
    <t>Hệ số tiêu thụ Protein từ tổng lượng protein đi vào hệ thống (%)</t>
  </si>
  <si>
    <t>Tổng lượng Protein tiêu thụ đi vào hệ thống (kg)</t>
  </si>
  <si>
    <t>Tỉ lệ Ni tơ/Protein ( kg N/kg protein)</t>
  </si>
  <si>
    <t>Lượng nitrogen bổ sung từ các thực phẩm được thêm vào chất thải nước ( kg N/kg protein)</t>
  </si>
  <si>
    <t>Tổng lượng Ni tơ tiêu thụ đi vào hệ thống (kg N)</t>
  </si>
  <si>
    <t>Hệ số cho nitơ trong protein không tiêu thụ được loại bỏ trong hệ thống cống thoát (kg N/ kg N)</t>
  </si>
  <si>
    <t>Tổng Ni tơ đầu vào (kg N)</t>
  </si>
  <si>
    <t>Hệ số cho protein từ các nguồn công nghiệp và thương mại được xả vào hệ thống cống thoát</t>
  </si>
  <si>
    <t>Hệ số phát thải N2O (kg N2O/Kg N)</t>
  </si>
  <si>
    <t>Tổng N2O (tấn)</t>
  </si>
  <si>
    <t>GWP 100 N2O</t>
  </si>
  <si>
    <t>ProteinSUPPLY</t>
  </si>
  <si>
    <t>FPC</t>
  </si>
  <si>
    <t>Protein</t>
  </si>
  <si>
    <t>FNPR</t>
  </si>
  <si>
    <t>NHH</t>
  </si>
  <si>
    <t>TNDOM</t>
  </si>
  <si>
    <t xml:space="preserve">FNON-CON </t>
  </si>
  <si>
    <t>TNIND</t>
  </si>
  <si>
    <t>FIND_COM</t>
  </si>
  <si>
    <t xml:space="preserve">EF, EFFLUENT </t>
  </si>
  <si>
    <t>N2O EFFLUENT, DOM</t>
  </si>
  <si>
    <t xml:space="preserve">(6) </t>
  </si>
  <si>
    <t>(7)=(5)*(6)</t>
  </si>
  <si>
    <t>(10)=(7)*(8)*(9)</t>
  </si>
  <si>
    <t>(12)=(10)*(11)</t>
  </si>
  <si>
    <t>(15)=((12)*(13)*(14)*(44/28)/10^3</t>
  </si>
  <si>
    <r>
      <rPr>
        <sz val="13"/>
        <rFont val="Times New Roman"/>
        <family val="1"/>
      </rPr>
      <t>(16)</t>
    </r>
  </si>
  <si>
    <t>(17)=(15)*(16)</t>
  </si>
  <si>
    <t>TỔNG CỘNG</t>
  </si>
  <si>
    <t>TRUNG BÌNH</t>
  </si>
  <si>
    <t>0,5</t>
  </si>
  <si>
    <t>Hệ số điều chỉnh CH4 (MCF) theo loại hệ thống xử lý nước thải của Công ty theo Phụ lục IV - Danh mục hệ số phát thải phục vụ kiểm kê khí nhà kính lĩnh chất thải - Quyết định số 2626/QĐ-BTNMT ngày 10 tháng 10 năm 2022 là 0,5</t>
  </si>
  <si>
    <t>Bo</t>
  </si>
  <si>
    <t xml:space="preserve">0,6 </t>
  </si>
  <si>
    <t>Kg CH4/kgBOD</t>
  </si>
  <si>
    <t>Khả năng phát sinh khí CH4 tối đa, theo Phụ lục IV - Danh mục hệ số phát thải phục vụ kiểm kê khí nhà kính lĩnh chất thải - Quyết định số 2626/QĐ-BTNMT ngày 10 tháng 10 năm 2022 là 0,6 Kg CH4/kgBOD</t>
  </si>
  <si>
    <t>BOD</t>
  </si>
  <si>
    <t>g/ 1 người/1 ngày</t>
  </si>
  <si>
    <t>Table 6.4 Estimated BOD5 values in domestic wastewater for selected regions and countries - 2019 Refinement to the 2006 IPCC Guidelines for National Greenhouse Gas Inventories: Volume 5 Waste, Chapter 6: Wastewater Treatment and Discharge.</t>
  </si>
  <si>
    <t xml:space="preserve">Lượng protein phát sinh ra từ mỗi người </t>
  </si>
  <si>
    <t>g/người/ngày</t>
  </si>
  <si>
    <t>https://www.fao.org/faostat/en/ - data/FBSH</t>
  </si>
  <si>
    <t>fpc</t>
  </si>
  <si>
    <t>Tỷ lệ protein tiêu thụ, Tra  Default regional values are listed in the new Table 6.10a</t>
  </si>
  <si>
    <t>kg N/kg protein</t>
  </si>
  <si>
    <t>EQUATION 6.10 (NEW)
TOTAL NITROGEN IN DOMESTIC WASTEWATER BY TREATMENT PATHWAY, chương 6, quyển 5 của tài liệu IPCC 2019</t>
  </si>
  <si>
    <t>Page 6.41 Volumne 5 Chapter 6- 2019 IPCC</t>
  </si>
  <si>
    <t>kg N/ kg N</t>
  </si>
  <si>
    <t>TABLE 6.10A (NEW)
DEFAULT FACTORS FOR DOMESTIC WASTEWATER, chương 6, quyển 5 của tài liệu IPCC 2019</t>
  </si>
  <si>
    <t>FIND-COM</t>
  </si>
  <si>
    <t>TABLE 6.11, Chương 6, Quyển 5, IPCC 2019</t>
  </si>
  <si>
    <t>EF</t>
  </si>
  <si>
    <t>kg N2O/Kg N</t>
  </si>
  <si>
    <t xml:space="preserve">TABLE 6.8A (NEW)
DEFAULT EF VALUES FOR DOMESTIC AND INDUSTRIAL WASTEWATER, chương 6, quyển 5 của tài liệu IPCC 2019, tra lấy max theo khoảng range = 0-0.001 ứng với dạng xử lý là bể phốt (Septic Tank). </t>
  </si>
  <si>
    <t>Bảng 7.SM.7 Hệ số Tiềm năng nóng lên toàn cầu 100 năm - Chương 7 tài liệu bổ sung - Báo cáo đánh giá lần 6 tháng 8 năm 2021
Table 7.SM.7 100-year Global Warming Potential Coefficient - Chapter 7 supplementary material - 6th assessment report August 2021</t>
  </si>
  <si>
    <t>Tổng số giờ làm việc</t>
  </si>
  <si>
    <t>Số người * số giờ</t>
  </si>
  <si>
    <t>Được lấy dữ liệu từ bảng dữ liệu chấm công sản xuất và hành chính của Bộ phận Nhân sự</t>
  </si>
  <si>
    <t>Số người trung bình trong tháng</t>
  </si>
  <si>
    <t>Người</t>
  </si>
  <si>
    <t>Số ngày làm việc trong tháng</t>
  </si>
  <si>
    <t>Ngày</t>
  </si>
  <si>
    <r>
      <rPr>
        <b/>
        <sz val="13"/>
        <rFont val="Times New Roman"/>
        <family val="1"/>
      </rPr>
      <t xml:space="preserve">Department/ </t>
    </r>
    <r>
      <rPr>
        <b/>
        <i/>
        <sz val="13"/>
        <rFont val="Times New Roman"/>
        <family val="1"/>
      </rPr>
      <t>Bộ phận</t>
    </r>
    <r>
      <rPr>
        <b/>
        <sz val="13"/>
        <rFont val="Times New Roman"/>
        <family val="1"/>
      </rPr>
      <t xml:space="preserve">: </t>
    </r>
  </si>
  <si>
    <r>
      <rPr>
        <b/>
        <sz val="13"/>
        <rFont val="Times New Roman"/>
        <family val="1"/>
      </rPr>
      <t xml:space="preserve">Rò rỉ N2O từ hệ thống bể xử lý nước thải chung tính theo phương pháp 2/ </t>
    </r>
    <r>
      <rPr>
        <i/>
        <sz val="13"/>
        <rFont val="Times New Roman"/>
        <family val="1"/>
      </rPr>
      <t>N2O leak from manufacturing's water treatment system</t>
    </r>
  </si>
  <si>
    <r>
      <rPr>
        <b/>
        <sz val="13"/>
        <rFont val="Times New Roman"/>
        <family val="1"/>
      </rPr>
      <t>Loại KNK /GHG Emissions:</t>
    </r>
    <r>
      <rPr>
        <sz val="13"/>
        <rFont val="Times New Roman"/>
        <family val="1"/>
      </rPr>
      <t xml:space="preserve"> N2O</t>
    </r>
  </si>
  <si>
    <t>Chỉ số tổng ni tơ đầu vào (mg/l)</t>
  </si>
  <si>
    <t>Chỉ số tổng ni tơ đầu ra (mg/l)</t>
  </si>
  <si>
    <t>Lưu lượng (m3)</t>
  </si>
  <si>
    <t>Tổng lượng Ni tơ tính ở XLNT (KgN)</t>
  </si>
  <si>
    <t>Hế số phát thải (kg N2O-N/kg N)</t>
  </si>
  <si>
    <t>Tổng N2O (Kg)</t>
  </si>
  <si>
    <t>GWP</t>
  </si>
  <si>
    <t>Thời gian quan trắc</t>
  </si>
  <si>
    <t>Số phiếu quan trắc</t>
  </si>
  <si>
    <t>Ngày lấy mẫu</t>
  </si>
  <si>
    <t>Ngày phân tích</t>
  </si>
  <si>
    <t>Chỉ số tổng N đầu ra (mg/l)</t>
  </si>
  <si>
    <t>QI-2024</t>
  </si>
  <si>
    <t>545/2024/QTTNMT-KQ</t>
  </si>
  <si>
    <t>19/3/2024</t>
  </si>
  <si>
    <t>20-28/03/2024</t>
  </si>
  <si>
    <t>QII-2024</t>
  </si>
  <si>
    <t>27/5/2024</t>
  </si>
  <si>
    <t>28/5/2024-07/06/2024</t>
  </si>
  <si>
    <t>Trung bình 2024 (mg/l)</t>
  </si>
  <si>
    <t>QIV-2023</t>
  </si>
  <si>
    <t>3351/2023/QTTNMT-KQ</t>
  </si>
  <si>
    <t>10-17/11/2023</t>
  </si>
  <si>
    <t>QIII-2023</t>
  </si>
  <si>
    <t>2866/2023/QTTNMT-KQ</t>
  </si>
  <si>
    <t>13/9/2023</t>
  </si>
  <si>
    <t>14-21/09/2023</t>
  </si>
  <si>
    <t>QII-2023</t>
  </si>
  <si>
    <t>1852/2023/QTTNMT-KQ</t>
  </si>
  <si>
    <t>20/06/2023</t>
  </si>
  <si>
    <t>21/06-28/06/2023</t>
  </si>
  <si>
    <t>Trung bình 2023 (mg/l)</t>
  </si>
  <si>
    <t>N2O từ XLNTSH</t>
  </si>
  <si>
    <t>Tổng N2O từ XLNTSH + XLNTTT</t>
  </si>
  <si>
    <t xml:space="preserve">Nguồn dữ liệu: </t>
  </si>
  <si>
    <t>Số hiệu</t>
  </si>
  <si>
    <t>(2), (3)</t>
  </si>
  <si>
    <t xml:space="preserve">Chỉ số ni tơ tổng đầu vào và đầu ra được lấy theo Phiếu kết quả phân tích môi trường nước thải ngày 09/8/2023. Do vậy sẽ tính lượng Nito chuyển đổi sang khí N2O ở Quá trình khử nitrate hóa bao gồm nhiều giai đoạn chuyển hóa nitrate thành các khí thông qua các chất trung gian:
NH4 -&gt; NO3 -&gt; NO2 -&gt; NO -&gt; N2O -&gt; N2 (gas) theo Báo cáo Xin cấp phép hoạt động môi trường. </t>
  </si>
  <si>
    <t>Lưu lượng: Nước thải công nghiệp đo được từ đồng hồ đo lưu lượng của Hệ thống Xử lý nước thải hàng tháng</t>
  </si>
  <si>
    <t xml:space="preserve">Hệ số phát thải N2O được lấy từ  "Bảng 6.8A - 2019 Refinement to the 2006 IPCC Guidelines for National Greenhouse Gas Inventories" là 0.016 kg N2O/kg N </t>
  </si>
  <si>
    <t>STATISTICS  &amp; CALCULATION TABLE OF EMISSIONS FROM 
FERTILIZER FOR TREES/
BẢNG THỐNG KÊ VÀ TÍNH TOÁN LƯỢNG PHÁT THẢI TỪ PHÂN BÓN CHO CÂY XANH
YEAR/ NĂM:2024</t>
  </si>
  <si>
    <r>
      <rPr>
        <b/>
        <u/>
        <sz val="13"/>
        <rFont val="Times New Roman"/>
        <family val="1"/>
      </rPr>
      <t>Emission sources:</t>
    </r>
    <r>
      <rPr>
        <sz val="13"/>
        <rFont val="Times New Roman"/>
        <family val="1"/>
      </rPr>
      <t xml:space="preserve"> Direct  using NPK for trees</t>
    </r>
  </si>
  <si>
    <r>
      <rPr>
        <b/>
        <u/>
        <sz val="13"/>
        <rFont val="Times New Roman"/>
        <family val="1"/>
      </rPr>
      <t>GHG Emissions:</t>
    </r>
    <r>
      <rPr>
        <sz val="13"/>
        <rFont val="Times New Roman"/>
        <family val="1"/>
      </rPr>
      <t xml:space="preserve"> N2O</t>
    </r>
  </si>
  <si>
    <t>Chemical composition/
Tỷ lệ thành phần hóa học
NPK 13.3.10</t>
  </si>
  <si>
    <t>Hệ số phát tán</t>
  </si>
  <si>
    <t>Hệ số chuyển đổi khối lượng N2/CO2</t>
  </si>
  <si>
    <t>N (%)</t>
  </si>
  <si>
    <t>EF4</t>
  </si>
  <si>
    <t>Factor</t>
  </si>
  <si>
    <t>(6) = (2)*(3)*(4)*(5)</t>
  </si>
  <si>
    <t>(8) = (6)*(7)/1000</t>
  </si>
  <si>
    <t>Ghi chú:</t>
  </si>
  <si>
    <t>- Hệ số hấp thụ Carbon hàng năm của cây tra bảng 2 Phương pháp tính toán số lượng Carbon cho cây trong đô thị và ngoại ô  - Hướng dẫn của Cục quản lý thông tin năng lượng - Bộ năng lượng Hoa Kỳ (1998)
- Loại cây và hệ số tăng trưởng được tra cứu tại “Bảng 1 - Các loài cây đô thị phổ biến” - Hướng dẫn của Cục quản lý thông tin năng lượng - Bộ năng lượng Hoa Kỳ (1998) hoặc các nguồn thông tin khác của Quốc gia, khu vực</t>
  </si>
  <si>
    <t>STATISTICS  &amp; CALCULATION TABLE OF ABSOBTION FROM TREES
BẢNG THỐNG KÊ VÀ TÍNH TOÁN LƯỢNG HẤP THỤ TỪ CÂY XANH
NĂM:2024</t>
  </si>
  <si>
    <r>
      <rPr>
        <b/>
        <sz val="13"/>
        <rFont val="Times New Roman"/>
        <family val="1"/>
      </rPr>
      <t xml:space="preserve">Department/ </t>
    </r>
    <r>
      <rPr>
        <b/>
        <i/>
        <sz val="13"/>
        <color theme="1"/>
        <rFont val="Times New Roman"/>
        <family val="1"/>
      </rPr>
      <t>Bộ phận</t>
    </r>
    <r>
      <rPr>
        <b/>
        <sz val="13"/>
        <color theme="1"/>
        <rFont val="Times New Roman"/>
        <family val="1"/>
      </rPr>
      <t>: Quản lý</t>
    </r>
  </si>
  <si>
    <r>
      <rPr>
        <b/>
        <sz val="13"/>
        <rFont val="Times New Roman"/>
        <family val="1"/>
      </rPr>
      <t xml:space="preserve">Group 1: </t>
    </r>
    <r>
      <rPr>
        <sz val="13"/>
        <rFont val="Times New Roman"/>
        <family val="1"/>
      </rPr>
      <t>Direct GHG emissions and removals</t>
    </r>
  </si>
  <si>
    <t>Nhóm 1: Phát thải và loại bỏ KNK trực tiếp</t>
  </si>
  <si>
    <r>
      <rPr>
        <b/>
        <sz val="13"/>
        <rFont val="Times New Roman"/>
        <family val="1"/>
      </rPr>
      <t xml:space="preserve">Loại KNK / GHG Emissions: </t>
    </r>
    <r>
      <rPr>
        <sz val="13"/>
        <rFont val="Times New Roman"/>
        <family val="1"/>
      </rPr>
      <t>CO2</t>
    </r>
  </si>
  <si>
    <r>
      <rPr>
        <sz val="12"/>
        <color theme="1"/>
        <rFont val="Arial"/>
        <family val="2"/>
      </rPr>
      <t>Year/</t>
    </r>
    <r>
      <rPr>
        <i/>
        <sz val="12"/>
        <color theme="1"/>
        <rFont val="Arial"/>
        <family val="2"/>
      </rPr>
      <t>Năm</t>
    </r>
    <r>
      <rPr>
        <sz val="12"/>
        <color theme="1"/>
        <rFont val="Arial"/>
        <family val="2"/>
      </rPr>
      <t>: 2022</t>
    </r>
  </si>
  <si>
    <r>
      <rPr>
        <b/>
        <sz val="13"/>
        <color theme="0"/>
        <rFont val="Times New Roman"/>
        <family val="1"/>
      </rPr>
      <t xml:space="preserve">STT
</t>
    </r>
    <r>
      <rPr>
        <b/>
        <i/>
        <sz val="13"/>
        <color theme="0"/>
        <rFont val="Times New Roman"/>
        <family val="1"/>
      </rPr>
      <t>No</t>
    </r>
  </si>
  <si>
    <r>
      <rPr>
        <b/>
        <sz val="13"/>
        <color theme="0"/>
        <rFont val="Times New Roman"/>
        <family val="1"/>
      </rPr>
      <t xml:space="preserve">Tên cây
</t>
    </r>
    <r>
      <rPr>
        <b/>
        <i/>
        <sz val="13"/>
        <color theme="0"/>
        <rFont val="Times New Roman"/>
        <family val="1"/>
      </rPr>
      <t>Tree name</t>
    </r>
  </si>
  <si>
    <r>
      <rPr>
        <b/>
        <sz val="13"/>
        <color theme="0"/>
        <rFont val="Times New Roman"/>
        <family val="1"/>
      </rPr>
      <t xml:space="preserve">Loại cây (gỗ cứng hoặc lá kim)
</t>
    </r>
    <r>
      <rPr>
        <b/>
        <i/>
        <sz val="13"/>
        <color theme="0"/>
        <rFont val="Times New Roman"/>
        <family val="1"/>
      </rPr>
      <t>Type of tree</t>
    </r>
  </si>
  <si>
    <r>
      <rPr>
        <b/>
        <sz val="13"/>
        <color theme="0"/>
        <rFont val="Times New Roman"/>
        <family val="1"/>
      </rPr>
      <t xml:space="preserve">Tỷ lệ tăng trưởng (nhanh, trung bình, chậm)
</t>
    </r>
    <r>
      <rPr>
        <b/>
        <i/>
        <sz val="13"/>
        <color theme="0"/>
        <rFont val="Times New Roman"/>
        <family val="1"/>
      </rPr>
      <t>Growth rate</t>
    </r>
  </si>
  <si>
    <r>
      <rPr>
        <b/>
        <sz val="13"/>
        <color theme="0"/>
        <rFont val="Times New Roman"/>
        <family val="1"/>
      </rPr>
      <t xml:space="preserve">Số lượng cây theo tuổi
</t>
    </r>
    <r>
      <rPr>
        <b/>
        <i/>
        <sz val="13"/>
        <color theme="0"/>
        <rFont val="Times New Roman"/>
        <family val="1"/>
      </rPr>
      <t>Qty of Tree/ age</t>
    </r>
  </si>
  <si>
    <r>
      <rPr>
        <b/>
        <sz val="13"/>
        <color theme="0"/>
        <rFont val="Times New Roman"/>
        <family val="1"/>
      </rPr>
      <t xml:space="preserve">Hệ số hấp thụ Carbon hàng năm (lbs carbon/cây/năm)
</t>
    </r>
    <r>
      <rPr>
        <b/>
        <i/>
        <sz val="13"/>
        <color theme="0"/>
        <rFont val="Times New Roman"/>
        <family val="1"/>
      </rPr>
      <t>Annual Carbon Absorption Coefficient</t>
    </r>
  </si>
  <si>
    <t>Hệ số chuyển đổi lbs -&gt; kg</t>
  </si>
  <si>
    <r>
      <rPr>
        <b/>
        <sz val="13"/>
        <color theme="0"/>
        <rFont val="Times New Roman"/>
        <family val="1"/>
      </rPr>
      <t xml:space="preserve">Lượng Carbon hấp thụ (kg)
</t>
    </r>
    <r>
      <rPr>
        <b/>
        <i/>
        <sz val="13"/>
        <color theme="0"/>
        <rFont val="Times New Roman"/>
        <family val="1"/>
      </rPr>
      <t>Amount of Carbon Absorbed</t>
    </r>
  </si>
  <si>
    <r>
      <rPr>
        <b/>
        <sz val="13"/>
        <color theme="0"/>
        <rFont val="Times New Roman"/>
        <family val="1"/>
      </rPr>
      <t xml:space="preserve">Lượng C02 hấp thu (tấn)
</t>
    </r>
    <r>
      <rPr>
        <b/>
        <i/>
        <sz val="13"/>
        <color theme="0"/>
        <rFont val="Times New Roman"/>
        <family val="1"/>
      </rPr>
      <t>Amount of CO2 Absorbed</t>
    </r>
  </si>
  <si>
    <t>1-5 năm</t>
  </si>
  <si>
    <t>6-10 năm</t>
  </si>
  <si>
    <t>11-15 năm</t>
  </si>
  <si>
    <t>16-20 năm</t>
  </si>
  <si>
    <t>&gt;20 năm</t>
  </si>
  <si>
    <t>Xà cừ</t>
  </si>
  <si>
    <t>Gỗ cứng</t>
  </si>
  <si>
    <t>Nhanh</t>
  </si>
  <si>
    <t>Keo</t>
  </si>
  <si>
    <t>Sấu</t>
  </si>
  <si>
    <t>Trung bình</t>
  </si>
  <si>
    <t>Cau vua</t>
  </si>
  <si>
    <t>Xoài</t>
  </si>
  <si>
    <t>Ngọc lan</t>
  </si>
  <si>
    <t>Lộc vừng</t>
  </si>
  <si>
    <t>Chậm</t>
  </si>
  <si>
    <t>Bàng ta</t>
  </si>
  <si>
    <t>Bàng đài loan</t>
  </si>
  <si>
    <t>Hoa sữa</t>
  </si>
  <si>
    <t>Vú sữa</t>
  </si>
  <si>
    <t>Đa</t>
  </si>
  <si>
    <t>Sao đen</t>
  </si>
  <si>
    <t>Phượng</t>
  </si>
  <si>
    <t>Bạch đàn</t>
  </si>
  <si>
    <t>Chà là</t>
  </si>
  <si>
    <t>Lá kim</t>
  </si>
  <si>
    <t>Hoa ban</t>
  </si>
  <si>
    <t>Phi lao</t>
  </si>
  <si>
    <r>
      <rPr>
        <b/>
        <sz val="13"/>
        <rFont val="Times New Roman"/>
        <family val="1"/>
      </rPr>
      <t xml:space="preserve">TOTAL/ </t>
    </r>
    <r>
      <rPr>
        <b/>
        <i/>
        <sz val="13"/>
        <rFont val="Times New Roman"/>
        <family val="1"/>
      </rPr>
      <t>TỔNG CỘNG</t>
    </r>
  </si>
  <si>
    <r>
      <rPr>
        <b/>
        <sz val="13"/>
        <color theme="1"/>
        <rFont val="Times New Roman"/>
        <family val="1"/>
      </rPr>
      <t xml:space="preserve">Ghi chú/ </t>
    </r>
    <r>
      <rPr>
        <b/>
        <i/>
        <sz val="13"/>
        <color theme="1"/>
        <rFont val="Times New Roman"/>
        <family val="1"/>
      </rPr>
      <t xml:space="preserve">Note: </t>
    </r>
  </si>
  <si>
    <t>- 0.4536 là hệ số chuyển đổi từ lbs sang kg</t>
  </si>
  <si>
    <t>- 3.67 là hệ số chuyển đổi từ Carbon sang CO2</t>
  </si>
  <si>
    <r>
      <rPr>
        <sz val="13"/>
        <color theme="1"/>
        <rFont val="Times New Roman"/>
        <family val="1"/>
      </rPr>
      <t>- Hệ số hấp thụ Carbon hàng n</t>
    </r>
    <r>
      <rPr>
        <sz val="13"/>
        <color indexed="8"/>
        <rFont val="Times New Roman"/>
        <family val="1"/>
      </rPr>
      <t>ă</t>
    </r>
    <r>
      <rPr>
        <sz val="13"/>
        <color theme="1"/>
        <rFont val="Times New Roman"/>
        <family val="1"/>
      </rPr>
      <t>m của cây tra bảng 2 Ph</t>
    </r>
    <r>
      <rPr>
        <sz val="13"/>
        <color indexed="8"/>
        <rFont val="Times New Roman"/>
        <family val="1"/>
      </rPr>
      <t>ươ</t>
    </r>
    <r>
      <rPr>
        <sz val="13"/>
        <color theme="1"/>
        <rFont val="Times New Roman"/>
        <family val="1"/>
      </rPr>
      <t>ng pháp tính toán số l</t>
    </r>
    <r>
      <rPr>
        <sz val="13"/>
        <color indexed="8"/>
        <rFont val="Times New Roman"/>
        <family val="1"/>
      </rPr>
      <t>ư</t>
    </r>
    <r>
      <rPr>
        <sz val="13"/>
        <color theme="1"/>
        <rFont val="Times New Roman"/>
        <family val="1"/>
      </rPr>
      <t xml:space="preserve">ợng Carbon cho cây trong </t>
    </r>
    <r>
      <rPr>
        <sz val="13"/>
        <color indexed="8"/>
        <rFont val="Times New Roman"/>
        <family val="1"/>
      </rPr>
      <t>đ</t>
    </r>
    <r>
      <rPr>
        <sz val="13"/>
        <color theme="1"/>
        <rFont val="Times New Roman"/>
        <family val="1"/>
      </rPr>
      <t>ô thị và ngoại ô  - Hướng dẫn của Cục quản lý thông tin năng lượng - Bộ năng lượng Hoa Kỳ (1998)
- Loại cây và hệ số tăng trưởng được tra cứu tại “Bảng 1 - Các loài cây đô thị phổ biến” - Hướng dẫn của Cục quản lý thông tin năng lượng - Bộ năng lượng Hoa Kỳ (1998) hoặc các nguồn thông tin khác của Quốc gia, khu vực</t>
    </r>
  </si>
  <si>
    <t>BẢNG THỐNG KÊ VÀ TÍNH TOÁN LƯỢNG PHÁT THẢI TỪ ĐIỆN MUA NGOÀI
NĂM: 2024</t>
  </si>
  <si>
    <t>Emission sources: Indirect Emissions - Electricitiy import</t>
  </si>
  <si>
    <r>
      <rPr>
        <b/>
        <u/>
        <sz val="13"/>
        <rFont val="Times New Roman"/>
        <family val="1"/>
      </rPr>
      <t>Scope:</t>
    </r>
    <r>
      <rPr>
        <sz val="13"/>
        <rFont val="Times New Roman"/>
        <family val="1"/>
      </rPr>
      <t xml:space="preserve"> Scope 2</t>
    </r>
    <r>
      <rPr>
        <vertAlign val="subscript"/>
        <sz val="13"/>
        <rFont val="Times New Roman"/>
        <family val="1"/>
      </rPr>
      <t xml:space="preserve"> </t>
    </r>
    <r>
      <rPr>
        <sz val="13"/>
        <rFont val="Times New Roman"/>
        <family val="1"/>
      </rPr>
      <t>emissions - Indirect</t>
    </r>
  </si>
  <si>
    <t>Energy type</t>
  </si>
  <si>
    <t>Units</t>
  </si>
  <si>
    <t>Trụ sở chính</t>
  </si>
  <si>
    <t>Chi nhánh</t>
  </si>
  <si>
    <t>Consumption amount</t>
  </si>
  <si>
    <t>Emission Factor of the grid power Vietnam 
(ton CO2/MWh)</t>
  </si>
  <si>
    <r>
      <rPr>
        <b/>
        <sz val="13"/>
        <rFont val="Times New Roman"/>
        <family val="1"/>
      </rPr>
      <t>Emissions GHG</t>
    </r>
    <r>
      <rPr>
        <b/>
        <vertAlign val="subscript"/>
        <sz val="13"/>
        <rFont val="Times New Roman"/>
        <family val="1"/>
      </rPr>
      <t xml:space="preserve">, </t>
    </r>
    <r>
      <rPr>
        <b/>
        <sz val="13"/>
        <rFont val="Times New Roman"/>
        <family val="1"/>
      </rPr>
      <t>from  Electricity import 
((ton CO2)</t>
    </r>
  </si>
  <si>
    <t>DISOCO</t>
  </si>
  <si>
    <t>Electricity</t>
  </si>
  <si>
    <t>kWh</t>
  </si>
  <si>
    <t>(5) Emission Factor of the grid power Vietnam</t>
  </si>
  <si>
    <t>ton CO2/MWh</t>
  </si>
  <si>
    <t>Công bố kết quả tính toán hệ số phát thải 
của lưới điện Việt Nam năm 2023 theo quyết định Số 1726/BĐKH-PTCBT ngày 03 tháng 12 năm 2024.</t>
  </si>
  <si>
    <r>
      <rPr>
        <b/>
        <u/>
        <sz val="13"/>
        <rFont val="Times New Roman"/>
        <family val="1"/>
      </rPr>
      <t>Source:</t>
    </r>
    <r>
      <rPr>
        <b/>
        <sz val="13"/>
        <rFont val="Times New Roman"/>
        <family val="1"/>
      </rPr>
      <t xml:space="preserve"> </t>
    </r>
  </si>
  <si>
    <t>BẢNG TỔNG HỢP NGUỒN PHÁT THẢI THEO LOẠI KHÍ 2024</t>
  </si>
  <si>
    <t>Nguồn phát thải theo loại khí (tấn)</t>
  </si>
  <si>
    <t>HCFC</t>
  </si>
  <si>
    <t>TỔNG = I+II+III+IV</t>
  </si>
  <si>
    <t>NĂNG LƯỢNG (I) = (I.1)+(I.3)</t>
  </si>
  <si>
    <t>Các hoạt động đốt nhiên liệu(I.1)</t>
  </si>
  <si>
    <t>Thiết bị máy móc</t>
  </si>
  <si>
    <t>1.1.1 DO Máy phát điện 2024</t>
  </si>
  <si>
    <t>1.1.2 Gas LPG SX 2024</t>
  </si>
  <si>
    <t>Dân dụng</t>
  </si>
  <si>
    <t>1.1.3 Gas LPG Nhà ăn 2024</t>
  </si>
  <si>
    <t>Tiêu thụ năng lượng từ giao thông vận tải (I.3)</t>
  </si>
  <si>
    <t>Quá trình công nghiệp và sử dụng sản phẩm thay thế chất phân hủy tầng o-dôn (IPPU) (II)</t>
  </si>
  <si>
    <t>Quá trình sử dụng chất chữa cháy (CO2 cứu hỏa)</t>
  </si>
  <si>
    <t>Quá trình sử dụng HFCs cho thiết bị lạnh</t>
  </si>
  <si>
    <t>Bể xử lý N2O</t>
  </si>
  <si>
    <t>Bể xử lý CH4</t>
  </si>
  <si>
    <t>Tổng cộng (tấn CO2e)</t>
  </si>
  <si>
    <t>Sử dụng cho quá trình kết dính thao (core mold)</t>
  </si>
  <si>
    <t>Phát thải từ xử lý nước thải sinh hoạt, có quan trắc chỉ số Nito tổng và COD ở đầu vào và đầu ra của quá trình (hiếu khí, thiếu khí, kỵ khí)</t>
  </si>
  <si>
    <t>Thống kê lượng phân bón sử dụng cho cây</t>
  </si>
  <si>
    <t>5.2</t>
  </si>
  <si>
    <t xml:space="preserve">Dùng cho máy phát điện </t>
  </si>
  <si>
    <t>Xăng máy cắt cỏ</t>
  </si>
  <si>
    <t xml:space="preserve">
Emission code/
Mã nguồn phát thải
1.1.9</t>
  </si>
  <si>
    <t>QT01/BM.01</t>
  </si>
  <si>
    <t>QT03/BM.01</t>
  </si>
  <si>
    <t>Bao gồm toàn bộ các biểu mẫu theo các Quy trình từ QT01 đến QT03.</t>
  </si>
  <si>
    <t>QT02/BM.01</t>
  </si>
  <si>
    <t>Emission code/
Mã nguồn phát thải
1.1.2</t>
  </si>
  <si>
    <t>Emission code/
Mã nguồn phát thải
1.1.1</t>
  </si>
  <si>
    <t>QT03/BM.02</t>
  </si>
  <si>
    <t>QT01/BM.03</t>
  </si>
  <si>
    <t>Emission code/
Mã nguồn phát thải
1.1.3</t>
  </si>
  <si>
    <t>Emission code/
Mã nguồn phát thải
1.1.4</t>
  </si>
  <si>
    <t>Emission code/
Mã nguồn phát thải
1.1.5</t>
  </si>
  <si>
    <t>GHG EMISSION FROM GASONLINE FOR LAWNMOWWER/
BẢNG TÍNH PHÁT THẢI XĂNG CHO MÁY CẮT CỎ 
YEAR/NĂM: 2024</t>
  </si>
  <si>
    <t>Emission code/
Mã nguồn phát thải
1.1.6</t>
  </si>
  <si>
    <t>Emission code/
Mã nguồn phát thải
1.1.7</t>
  </si>
  <si>
    <t>Emission code/
Mã nguồn phát thải
1.1.8</t>
  </si>
  <si>
    <t>Emission code/
Mã nguồn phát thải
1.1.10</t>
  </si>
  <si>
    <t>Emission code/
Mã nguồn phát thải
1.2.1</t>
  </si>
  <si>
    <t>Mã nguồn phát thải
1.2.2</t>
  </si>
  <si>
    <t>Mã nguồn phát thải
1.2.3</t>
  </si>
  <si>
    <t>Mã nguồn phát thải
1.3.1</t>
  </si>
  <si>
    <t>Mã nguồn phát thải
1.3.3</t>
  </si>
  <si>
    <t>PHỤ LỤC 24
Mã nguồn phát thải
1.3.2</t>
  </si>
  <si>
    <t>Emission code/
Mã nguồn phát thải
1.3.4</t>
  </si>
  <si>
    <t>Mã nguồn phát thải
1.4</t>
  </si>
  <si>
    <t>Mã nguồn phát thải 2.1</t>
  </si>
  <si>
    <t>1.1.4 Methanol 2024</t>
  </si>
  <si>
    <t>1.1.6 Dầu hỏa 2024</t>
  </si>
  <si>
    <t>1.1.7 Nước thủy tinh 2024</t>
  </si>
  <si>
    <t>1.1.8. Sơn thao LOALIDPASTE 94l</t>
  </si>
  <si>
    <t>1.1.9 Cồn Công nghiệp 2024</t>
  </si>
  <si>
    <t>1.1.10. CO2 kết dính thao 2024</t>
  </si>
  <si>
    <t>1.1.5 Xăng MCC, PCCC 2024</t>
  </si>
  <si>
    <t>1.2.1 DO Xe nângNB 2024</t>
  </si>
  <si>
    <t>1.2.2 DOXevậntải BN 2024</t>
  </si>
  <si>
    <t>1.2.3 XăngXe VTBN 2024</t>
  </si>
  <si>
    <t>1.3.1. Bình chữa cháy CO2 2024</t>
  </si>
  <si>
    <t>1.3.2.Môi chất lạnh 2024</t>
  </si>
  <si>
    <t>1.3.4 Phân bón 2024</t>
  </si>
  <si>
    <t>CHẤT THẢI (III)</t>
  </si>
  <si>
    <t>Nông nghiệp và sử dụng đất (AFOLU) (IV)</t>
  </si>
  <si>
    <t>Mã nguồn phát thải
1.6</t>
  </si>
  <si>
    <t>BẢNG TÍNH TOÁN LƯỢNG PHÁT THẢI TỪ HỆ THỐNG 
XỬ LÝ NƯỚC THẢI TẬP CHUNG CỦA CÔNG TY
NĂM: 2024</t>
  </si>
  <si>
    <t>Tổng CO2e (tấn)
1.3.3 BỂ XL NƯỚC THẢI TT 
N2O</t>
  </si>
  <si>
    <t xml:space="preserve">Điện năng mua từ lưới điện EVN sử dụng </t>
  </si>
  <si>
    <t xml:space="preserve">1. Tên công ty: Công ty TNHH </t>
  </si>
  <si>
    <t xml:space="preserve">2. Địa chỉ trụ sở chính: </t>
  </si>
  <si>
    <t>4. Người đại diện theo Pháp luật: Ông                         Chức vụ: Giám đốc</t>
  </si>
  <si>
    <t xml:space="preserve">5. Giấy phép đăng ký kinh doanh: Mã số </t>
  </si>
  <si>
    <t>Điện lưới mua về sử dụng</t>
  </si>
  <si>
    <t>Các quá trình sử dụng điện năng</t>
  </si>
  <si>
    <t xml:space="preserve">Sử dụng các sản phẩm </t>
  </si>
  <si>
    <t>Điện năng mua từ lưới điện EVN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</si>
</sst>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0.000"/>
    <numFmt numFmtId="165" formatCode="_(* #,##0.000_);_(* \(#,##0.000\);_(* &quot;-&quot;??_);_(@_)"/>
    <numFmt numFmtId="166" formatCode="0.0000"/>
    <numFmt numFmtId="167" formatCode="_(* #,##0_);_(* \(#,##0\);_(* &quot;-&quot;??_);_(@_)"/>
    <numFmt numFmtId="168" formatCode="#,##0.000"/>
    <numFmt numFmtId="169" formatCode="#,##0.0000"/>
    <numFmt numFmtId="170" formatCode="0_);\(0\)"/>
    <numFmt numFmtId="171" formatCode="_(* #,##0.0_);_(* \(#,##0.0\);_(* &quot;-&quot;??_);_(@_)"/>
    <numFmt numFmtId="172" formatCode="_(* #,##0.0000_);_(* \(#,##0.0000\);_(* &quot;-&quot;??_);_(@_)"/>
    <numFmt numFmtId="173" formatCode="_(* #,##0.000000_);_(* \(#,##0.000000\);_(* &quot;-&quot;??_);_(@_)"/>
    <numFmt numFmtId="174" formatCode="_(* #,##0.00000_);_(* \(#,##0.00000\);_(* &quot;-&quot;??_);_(@_)"/>
    <numFmt numFmtId="175" formatCode="0.0%"/>
    <numFmt numFmtId="176" formatCode="#,##0.000_);\(#,##0.000\)"/>
    <numFmt numFmtId="177" formatCode="0.00000"/>
    <numFmt numFmtId="178" formatCode="0.000%"/>
  </numFmts>
  <fonts count="102">
    <font>
      <sz val="11"/>
      <color theme="1"/>
      <name val="Calibri"/>
      <charset val="134"/>
      <scheme val="minor"/>
    </font>
    <font>
      <b/>
      <sz val="12"/>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b/>
      <sz val="11"/>
      <name val="Arial"/>
      <family val="2"/>
    </font>
    <font>
      <sz val="11"/>
      <name val="Arial"/>
      <family val="2"/>
    </font>
    <font>
      <b/>
      <sz val="14"/>
      <name val="Times New Roman"/>
      <family val="1"/>
    </font>
    <font>
      <b/>
      <u/>
      <sz val="13"/>
      <name val="Times New Roman"/>
      <family val="1"/>
    </font>
    <font>
      <sz val="13"/>
      <name val="Times New Roman"/>
      <family val="1"/>
    </font>
    <font>
      <vertAlign val="subscript"/>
      <sz val="13"/>
      <name val="Times New Roman"/>
      <family val="1"/>
    </font>
    <font>
      <u/>
      <sz val="13"/>
      <name val="Times New Roman"/>
      <family val="1"/>
    </font>
    <font>
      <b/>
      <sz val="13"/>
      <name val="Times New Roman"/>
      <family val="1"/>
    </font>
    <font>
      <sz val="11"/>
      <color theme="1"/>
      <name val="Arial"/>
      <family val="2"/>
    </font>
    <font>
      <b/>
      <sz val="11"/>
      <color theme="1"/>
      <name val="Calibri"/>
      <family val="2"/>
      <scheme val="minor"/>
    </font>
    <font>
      <sz val="11"/>
      <color theme="0"/>
      <name val="Arial"/>
      <family val="2"/>
    </font>
    <font>
      <b/>
      <sz val="16"/>
      <color theme="0"/>
      <name val="Times New Roman"/>
      <family val="1"/>
    </font>
    <font>
      <b/>
      <sz val="13"/>
      <color theme="0"/>
      <name val="Times New Roman"/>
      <family val="1"/>
    </font>
    <font>
      <b/>
      <sz val="13"/>
      <color theme="1"/>
      <name val="Times New Roman"/>
      <family val="1"/>
    </font>
    <font>
      <sz val="13"/>
      <color theme="1"/>
      <name val="Times New Roman"/>
      <family val="1"/>
    </font>
    <font>
      <sz val="12"/>
      <color theme="1"/>
      <name val="Times New Roman"/>
      <family val="1"/>
    </font>
    <font>
      <sz val="13"/>
      <color rgb="FFFF0000"/>
      <name val="Times New Roman"/>
      <family val="1"/>
    </font>
    <font>
      <b/>
      <sz val="14"/>
      <color theme="0"/>
      <name val="Times New Roman"/>
      <family val="1"/>
    </font>
    <font>
      <b/>
      <sz val="12"/>
      <name val="Arial"/>
      <family val="2"/>
    </font>
    <font>
      <sz val="12"/>
      <color theme="1"/>
      <name val="Arial"/>
      <family val="2"/>
    </font>
    <font>
      <sz val="11"/>
      <name val="Times New Roman"/>
      <family val="1"/>
    </font>
    <font>
      <b/>
      <sz val="14"/>
      <name val="Arial"/>
      <family val="2"/>
    </font>
    <font>
      <b/>
      <sz val="11"/>
      <color theme="1"/>
      <name val="Arial"/>
      <family val="2"/>
    </font>
    <font>
      <sz val="11"/>
      <color theme="1"/>
      <name val="Times New Roman"/>
      <family val="1"/>
    </font>
    <font>
      <sz val="11"/>
      <name val="Calibri"/>
      <family val="2"/>
      <scheme val="minor"/>
    </font>
    <font>
      <sz val="11"/>
      <name val="Calibri"/>
      <family val="2"/>
    </font>
    <font>
      <b/>
      <sz val="16"/>
      <name val="Calibri"/>
      <family val="2"/>
      <scheme val="minor"/>
    </font>
    <font>
      <sz val="12"/>
      <color indexed="10"/>
      <name val="Calibri"/>
      <family val="2"/>
    </font>
    <font>
      <sz val="12"/>
      <color indexed="10"/>
      <name val="Arial"/>
      <family val="2"/>
    </font>
    <font>
      <sz val="12"/>
      <color indexed="8"/>
      <name val="Calibri"/>
      <family val="2"/>
    </font>
    <font>
      <sz val="12"/>
      <color indexed="8"/>
      <name val="Arial"/>
      <family val="2"/>
    </font>
    <font>
      <sz val="12"/>
      <color indexed="56"/>
      <name val="Calibri"/>
      <family val="2"/>
    </font>
    <font>
      <sz val="14"/>
      <name val="Calibri"/>
      <family val="2"/>
      <scheme val="minor"/>
    </font>
    <font>
      <sz val="14"/>
      <name val="Arial"/>
      <family val="2"/>
    </font>
    <font>
      <b/>
      <sz val="16"/>
      <name val="Times New Roman"/>
      <family val="1"/>
    </font>
    <font>
      <b/>
      <sz val="12"/>
      <name val="Times New Roman"/>
      <family val="1"/>
    </font>
    <font>
      <sz val="12"/>
      <name val="Times New Roman"/>
      <family val="1"/>
    </font>
    <font>
      <b/>
      <sz val="11"/>
      <name val="Times New Roman"/>
      <family val="1"/>
    </font>
    <font>
      <b/>
      <sz val="11.5"/>
      <name val="Times New Roman"/>
      <family val="1"/>
    </font>
    <font>
      <sz val="10"/>
      <color theme="1"/>
      <name val="Times New Roman"/>
      <family val="1"/>
    </font>
    <font>
      <sz val="16"/>
      <color theme="1"/>
      <name val="Times New Roman"/>
      <family val="1"/>
    </font>
    <font>
      <sz val="10"/>
      <color theme="0"/>
      <name val="Times New Roman"/>
      <family val="1"/>
    </font>
    <font>
      <sz val="14"/>
      <color theme="1"/>
      <name val="Arial"/>
      <family val="2"/>
    </font>
    <font>
      <b/>
      <sz val="14"/>
      <color theme="1"/>
      <name val="Arial"/>
      <family val="2"/>
    </font>
    <font>
      <sz val="13"/>
      <color theme="1"/>
      <name val="Arial"/>
      <family val="2"/>
    </font>
    <font>
      <sz val="14"/>
      <color theme="1"/>
      <name val="Times New Roman"/>
      <family val="1"/>
    </font>
    <font>
      <sz val="10"/>
      <name val="Times New Roman"/>
      <family val="1"/>
    </font>
    <font>
      <b/>
      <sz val="13"/>
      <color rgb="FF000000"/>
      <name val="Times New Roman"/>
      <family val="1"/>
    </font>
    <font>
      <sz val="13"/>
      <color rgb="FF000000"/>
      <name val="Times New Roman"/>
      <family val="1"/>
    </font>
    <font>
      <sz val="8"/>
      <color rgb="FF262626"/>
      <name val="Times New Roman"/>
      <family val="1"/>
    </font>
    <font>
      <sz val="13"/>
      <name val="Arial"/>
      <family val="2"/>
    </font>
    <font>
      <b/>
      <sz val="13"/>
      <color theme="1"/>
      <name val="Arial"/>
      <family val="2"/>
    </font>
    <font>
      <i/>
      <sz val="14"/>
      <color theme="1"/>
      <name val="Arial"/>
      <family val="2"/>
    </font>
    <font>
      <i/>
      <sz val="11"/>
      <color theme="1"/>
      <name val="Times New Roman"/>
      <family val="1"/>
    </font>
    <font>
      <i/>
      <sz val="11"/>
      <name val="Times New Roman"/>
      <family val="1"/>
    </font>
    <font>
      <b/>
      <i/>
      <sz val="18"/>
      <name val="Times New Roman"/>
      <family val="1"/>
    </font>
    <font>
      <b/>
      <i/>
      <sz val="16"/>
      <name val="Times New Roman"/>
      <family val="1"/>
    </font>
    <font>
      <b/>
      <i/>
      <sz val="13"/>
      <name val="Times New Roman"/>
      <family val="1"/>
    </font>
    <font>
      <i/>
      <sz val="13"/>
      <name val="Times New Roman"/>
      <family val="1"/>
    </font>
    <font>
      <i/>
      <sz val="13"/>
      <color theme="1"/>
      <name val="Times New Roman"/>
      <family val="1"/>
    </font>
    <font>
      <i/>
      <sz val="11"/>
      <color theme="1"/>
      <name val="Calibri"/>
      <family val="2"/>
      <scheme val="minor"/>
    </font>
    <font>
      <i/>
      <sz val="11"/>
      <name val="Calibri"/>
      <family val="2"/>
      <scheme val="minor"/>
    </font>
    <font>
      <b/>
      <i/>
      <sz val="18"/>
      <color theme="0"/>
      <name val="Calibri"/>
      <family val="2"/>
      <scheme val="minor"/>
    </font>
    <font>
      <b/>
      <i/>
      <sz val="16"/>
      <color theme="0"/>
      <name val="Times New Roman"/>
      <family val="1"/>
    </font>
    <font>
      <b/>
      <i/>
      <sz val="16"/>
      <color rgb="FFFF0000"/>
      <name val="Calibri"/>
      <family val="2"/>
      <scheme val="minor"/>
    </font>
    <font>
      <b/>
      <i/>
      <sz val="12"/>
      <color theme="0"/>
      <name val="Times New Roman"/>
      <family val="1"/>
    </font>
    <font>
      <b/>
      <i/>
      <sz val="13"/>
      <color theme="0"/>
      <name val="Times New Roman"/>
      <family val="1"/>
    </font>
    <font>
      <b/>
      <i/>
      <sz val="14"/>
      <color theme="1"/>
      <name val="Arial"/>
      <family val="2"/>
    </font>
    <font>
      <b/>
      <i/>
      <sz val="13"/>
      <color theme="1"/>
      <name val="Times New Roman"/>
      <family val="1"/>
    </font>
    <font>
      <b/>
      <i/>
      <sz val="16"/>
      <name val="Calibri"/>
      <family val="2"/>
      <scheme val="minor"/>
    </font>
    <font>
      <i/>
      <sz val="16"/>
      <name val="Times New Roman"/>
      <family val="1"/>
    </font>
    <font>
      <sz val="16"/>
      <name val="Times New Roman"/>
      <family val="1"/>
    </font>
    <font>
      <i/>
      <sz val="16"/>
      <color theme="1"/>
      <name val="Times New Roman"/>
      <family val="1"/>
    </font>
    <font>
      <b/>
      <i/>
      <sz val="14"/>
      <color theme="0"/>
      <name val="Times New Roman"/>
      <family val="1"/>
    </font>
    <font>
      <sz val="13"/>
      <color theme="1"/>
      <name val="Calibri"/>
      <family val="2"/>
      <scheme val="minor"/>
    </font>
    <font>
      <sz val="12"/>
      <color theme="0"/>
      <name val="Times New Roman"/>
      <family val="1"/>
    </font>
    <font>
      <b/>
      <sz val="13"/>
      <color theme="0"/>
      <name val="Arial"/>
      <family val="2"/>
    </font>
    <font>
      <sz val="13"/>
      <color theme="0"/>
      <name val="Times New Roman"/>
      <family val="1"/>
    </font>
    <font>
      <sz val="14"/>
      <color theme="1"/>
      <name val="Calibri"/>
      <family val="2"/>
      <scheme val="minor"/>
    </font>
    <font>
      <sz val="12"/>
      <name val="Wingdings"/>
      <charset val="2"/>
    </font>
    <font>
      <sz val="12"/>
      <color theme="1"/>
      <name val="Wingdings"/>
      <charset val="2"/>
    </font>
    <font>
      <sz val="14"/>
      <color theme="1"/>
      <name val="Wingdings"/>
      <charset val="2"/>
    </font>
    <font>
      <sz val="11"/>
      <color indexed="8"/>
      <name val="Calibri"/>
      <family val="2"/>
    </font>
    <font>
      <sz val="11"/>
      <color theme="1"/>
      <name val="Calibri"/>
      <family val="2"/>
      <scheme val="minor"/>
    </font>
    <font>
      <sz val="12"/>
      <name val="新細明體"/>
      <charset val="136"/>
    </font>
    <font>
      <sz val="12"/>
      <color indexed="8"/>
      <name val="宋体"/>
      <charset val="134"/>
    </font>
    <font>
      <b/>
      <u/>
      <vertAlign val="subscript"/>
      <sz val="13"/>
      <name val="Times New Roman"/>
      <family val="1"/>
    </font>
    <font>
      <b/>
      <vertAlign val="subscript"/>
      <sz val="13"/>
      <name val="Times New Roman"/>
      <family val="1"/>
    </font>
    <font>
      <i/>
      <sz val="12"/>
      <color theme="1"/>
      <name val="Arial"/>
      <family val="2"/>
    </font>
    <font>
      <sz val="10"/>
      <color rgb="FF262626"/>
      <name val="Times New Roman"/>
      <family val="1"/>
    </font>
    <font>
      <sz val="13"/>
      <color indexed="8"/>
      <name val="Times New Roman"/>
      <family val="1"/>
    </font>
    <font>
      <b/>
      <sz val="9"/>
      <name val="Tahoma"/>
      <family val="2"/>
    </font>
    <font>
      <sz val="9"/>
      <name val="Tahoma"/>
      <family val="2"/>
    </font>
    <font>
      <sz val="11"/>
      <color theme="1"/>
      <name val="Calibri"/>
      <family val="2"/>
      <scheme val="minor"/>
    </font>
    <font>
      <b/>
      <i/>
      <sz val="13"/>
      <color rgb="FFFF0000"/>
      <name val="Times New Roman"/>
      <family val="1"/>
    </font>
    <font>
      <b/>
      <sz val="16"/>
      <color theme="1"/>
      <name val="Times New Roman"/>
      <family val="1"/>
    </font>
    <font>
      <b/>
      <sz val="14"/>
      <color theme="1"/>
      <name val="Times New Roman"/>
      <family val="1"/>
    </font>
  </fonts>
  <fills count="23">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indexed="9"/>
        <bgColor indexed="64"/>
      </patternFill>
    </fill>
    <fill>
      <patternFill patternType="solid">
        <fgColor rgb="FF002060"/>
        <bgColor indexed="64"/>
      </patternFill>
    </fill>
    <fill>
      <patternFill patternType="solid">
        <fgColor rgb="FF996600"/>
        <bgColor indexed="64"/>
      </patternFill>
    </fill>
    <fill>
      <patternFill patternType="solid">
        <fgColor theme="7" tint="0.39994506668294322"/>
        <bgColor indexed="64"/>
      </patternFill>
    </fill>
    <fill>
      <patternFill patternType="solid">
        <fgColor theme="7" tint="0.59999389629810485"/>
        <bgColor indexed="64"/>
      </patternFill>
    </fill>
    <fill>
      <patternFill patternType="solid">
        <fgColor theme="9" tint="0.39994506668294322"/>
        <bgColor indexed="64"/>
      </patternFill>
    </fill>
    <fill>
      <patternFill patternType="solid">
        <fgColor theme="2"/>
        <bgColor indexed="64"/>
      </patternFill>
    </fill>
    <fill>
      <patternFill patternType="solid">
        <fgColor indexed="22"/>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rgb="FFF4B083"/>
        <bgColor indexed="64"/>
      </patternFill>
    </fill>
    <fill>
      <patternFill patternType="solid">
        <fgColor theme="5" tint="0.39994506668294322"/>
        <bgColor indexed="64"/>
      </patternFill>
    </fill>
    <fill>
      <patternFill patternType="solid">
        <fgColor theme="7" tint="0.79995117038483843"/>
        <bgColor indexed="64"/>
      </patternFill>
    </fill>
    <fill>
      <patternFill patternType="solid">
        <fgColor theme="8" tint="0.3999450666829432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5" tint="0.59999389629810485"/>
        <bgColor indexed="64"/>
      </patternFill>
    </fill>
  </fills>
  <borders count="6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ck">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n">
        <color auto="1"/>
      </right>
      <top style="thick">
        <color auto="1"/>
      </top>
      <bottom style="thin">
        <color auto="1"/>
      </bottom>
      <diagonal/>
    </border>
    <border>
      <left style="thick">
        <color auto="1"/>
      </left>
      <right/>
      <top style="thin">
        <color auto="1"/>
      </top>
      <bottom/>
      <diagonal/>
    </border>
    <border>
      <left style="thick">
        <color auto="1"/>
      </left>
      <right/>
      <top style="thin">
        <color auto="1"/>
      </top>
      <bottom style="thin">
        <color auto="1"/>
      </bottom>
      <diagonal/>
    </border>
    <border>
      <left style="thick">
        <color auto="1"/>
      </left>
      <right/>
      <top/>
      <bottom style="thin">
        <color auto="1"/>
      </bottom>
      <diagonal/>
    </border>
    <border>
      <left style="thick">
        <color auto="1"/>
      </left>
      <right style="thin">
        <color auto="1"/>
      </right>
      <top style="thin">
        <color auto="1"/>
      </top>
      <bottom style="thin">
        <color auto="1"/>
      </bottom>
      <diagonal/>
    </border>
    <border>
      <left style="thick">
        <color auto="1"/>
      </left>
      <right/>
      <top/>
      <bottom style="thick">
        <color auto="1"/>
      </bottom>
      <diagonal/>
    </border>
    <border>
      <left/>
      <right/>
      <top/>
      <bottom style="thick">
        <color auto="1"/>
      </bottom>
      <diagonal/>
    </border>
    <border>
      <left style="thin">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n">
        <color auto="1"/>
      </left>
      <right style="thick">
        <color auto="1"/>
      </right>
      <top/>
      <bottom style="thin">
        <color auto="1"/>
      </bottom>
      <diagonal/>
    </border>
    <border>
      <left/>
      <right style="thin">
        <color auto="1"/>
      </right>
      <top/>
      <bottom style="thick">
        <color auto="1"/>
      </bottom>
      <diagonal/>
    </border>
    <border>
      <left style="thin">
        <color auto="1"/>
      </left>
      <right style="thick">
        <color auto="1"/>
      </right>
      <top style="thin">
        <color auto="1"/>
      </top>
      <bottom style="thick">
        <color auto="1"/>
      </bottom>
      <diagonal/>
    </border>
    <border>
      <left style="medium">
        <color auto="1"/>
      </left>
      <right style="thin">
        <color auto="1"/>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thin">
        <color auto="1"/>
      </right>
      <top style="thick">
        <color auto="1"/>
      </top>
      <bottom style="thin">
        <color auto="1"/>
      </bottom>
      <diagonal/>
    </border>
  </borders>
  <cellStyleXfs count="14">
    <xf numFmtId="0" fontId="0" fillId="0" borderId="0"/>
    <xf numFmtId="43" fontId="98" fillId="0" borderId="0" applyFont="0" applyFill="0" applyBorder="0" applyAlignment="0" applyProtection="0"/>
    <xf numFmtId="9" fontId="98" fillId="0" borderId="0" applyFont="0" applyFill="0" applyBorder="0" applyAlignment="0" applyProtection="0"/>
    <xf numFmtId="43" fontId="87" fillId="0" borderId="0" applyFont="0" applyFill="0" applyBorder="0" applyAlignment="0" applyProtection="0"/>
    <xf numFmtId="43" fontId="87" fillId="0" borderId="0" applyFont="0" applyFill="0" applyBorder="0" applyAlignment="0" applyProtection="0"/>
    <xf numFmtId="43" fontId="88" fillId="0" borderId="0" applyFont="0" applyFill="0" applyBorder="0" applyAlignment="0" applyProtection="0"/>
    <xf numFmtId="43" fontId="98" fillId="0" borderId="0" applyFont="0" applyFill="0" applyBorder="0" applyAlignment="0" applyProtection="0"/>
    <xf numFmtId="0" fontId="30" fillId="0" borderId="0"/>
    <xf numFmtId="0" fontId="89" fillId="0" borderId="0">
      <alignment vertical="center"/>
    </xf>
    <xf numFmtId="0" fontId="88" fillId="0" borderId="0"/>
    <xf numFmtId="0" fontId="90" fillId="0" borderId="0" applyNumberFormat="0" applyFill="0" applyBorder="0" applyProtection="0">
      <alignment vertical="center"/>
    </xf>
    <xf numFmtId="0" fontId="88" fillId="0" borderId="0"/>
    <xf numFmtId="0" fontId="98" fillId="0" borderId="0"/>
    <xf numFmtId="9" fontId="87" fillId="0" borderId="0" applyFont="0" applyFill="0" applyBorder="0" applyAlignment="0" applyProtection="0"/>
  </cellStyleXfs>
  <cellXfs count="1089">
    <xf numFmtId="0" fontId="0" fillId="0" borderId="0" xfId="0"/>
    <xf numFmtId="0" fontId="0" fillId="0" borderId="0" xfId="0" applyAlignment="1">
      <alignment vertical="center"/>
    </xf>
    <xf numFmtId="0" fontId="2" fillId="0" borderId="1" xfId="0" applyFont="1" applyBorder="1" applyAlignment="1">
      <alignment horizontal="center" vertical="center"/>
    </xf>
    <xf numFmtId="10" fontId="2" fillId="0" borderId="1" xfId="2" applyNumberFormat="1" applyFont="1" applyBorder="1" applyAlignment="1">
      <alignment horizontal="center" vertical="center"/>
    </xf>
    <xf numFmtId="0" fontId="0" fillId="2" borderId="1" xfId="0" applyFill="1" applyBorder="1" applyAlignment="1">
      <alignment horizontal="left" vertical="center"/>
    </xf>
    <xf numFmtId="166" fontId="0" fillId="0" borderId="1" xfId="0" applyNumberForma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left" vertical="center"/>
    </xf>
    <xf numFmtId="166" fontId="4" fillId="0" borderId="1" xfId="0" applyNumberFormat="1" applyFont="1" applyBorder="1" applyAlignment="1">
      <alignment horizontal="center" vertical="center"/>
    </xf>
    <xf numFmtId="0" fontId="0" fillId="0" borderId="1" xfId="0" applyBorder="1" applyAlignment="1">
      <alignment horizontal="left" vertical="center"/>
    </xf>
    <xf numFmtId="166" fontId="0" fillId="2" borderId="1" xfId="0" applyNumberFormat="1" applyFill="1" applyBorder="1" applyAlignment="1">
      <alignment horizontal="center" vertical="center"/>
    </xf>
    <xf numFmtId="166" fontId="4" fillId="2" borderId="1" xfId="0" applyNumberFormat="1" applyFont="1" applyFill="1" applyBorder="1" applyAlignment="1">
      <alignment horizontal="center" vertical="center"/>
    </xf>
    <xf numFmtId="164" fontId="0" fillId="0" borderId="1" xfId="0" applyNumberFormat="1" applyBorder="1" applyAlignment="1">
      <alignment horizontal="center" vertical="center"/>
    </xf>
    <xf numFmtId="0" fontId="2" fillId="0" borderId="1" xfId="0" applyFont="1" applyBorder="1" applyAlignment="1">
      <alignment horizontal="right" vertical="center"/>
    </xf>
    <xf numFmtId="164" fontId="2" fillId="0" borderId="1" xfId="0" applyNumberFormat="1" applyFont="1" applyBorder="1" applyAlignment="1">
      <alignment horizontal="center" vertical="center"/>
    </xf>
    <xf numFmtId="10" fontId="0" fillId="0" borderId="0" xfId="2" applyNumberFormat="1" applyFont="1"/>
    <xf numFmtId="10" fontId="0" fillId="0" borderId="0" xfId="2" applyNumberFormat="1" applyFont="1" applyAlignment="1">
      <alignment vertical="center"/>
    </xf>
    <xf numFmtId="0" fontId="5" fillId="0" borderId="0" xfId="0" applyFont="1"/>
    <xf numFmtId="0" fontId="6" fillId="0" borderId="0" xfId="0" applyFont="1"/>
    <xf numFmtId="167" fontId="6" fillId="0" borderId="0" xfId="1" applyNumberFormat="1" applyFont="1" applyAlignment="1">
      <alignment horizontal="center" vertical="center"/>
    </xf>
    <xf numFmtId="0" fontId="6" fillId="0" borderId="0" xfId="0" applyFont="1" applyAlignment="1">
      <alignment horizontal="center" vertical="center"/>
    </xf>
    <xf numFmtId="0" fontId="7" fillId="4" borderId="1" xfId="0" applyFont="1" applyFill="1" applyBorder="1" applyAlignment="1">
      <alignment horizontal="center" vertical="center" wrapText="1"/>
    </xf>
    <xf numFmtId="0" fontId="8" fillId="4" borderId="2" xfId="0" applyFont="1" applyFill="1" applyBorder="1" applyAlignment="1">
      <alignment horizontal="left" vertical="center"/>
    </xf>
    <xf numFmtId="0" fontId="9" fillId="4" borderId="0" xfId="0" applyFont="1" applyFill="1"/>
    <xf numFmtId="0" fontId="9" fillId="4" borderId="3" xfId="0" applyFont="1" applyFill="1" applyBorder="1"/>
    <xf numFmtId="0" fontId="10" fillId="4" borderId="2" xfId="0" applyFont="1" applyFill="1" applyBorder="1" applyAlignment="1">
      <alignment horizontal="left" vertical="center"/>
    </xf>
    <xf numFmtId="0" fontId="10" fillId="4" borderId="2" xfId="0" applyFont="1" applyFill="1" applyBorder="1" applyAlignment="1">
      <alignment vertical="center"/>
    </xf>
    <xf numFmtId="0" fontId="11" fillId="4" borderId="2" xfId="0" applyFont="1" applyFill="1" applyBorder="1" applyAlignment="1">
      <alignment vertical="center"/>
    </xf>
    <xf numFmtId="0" fontId="12" fillId="4"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4" xfId="0" applyFont="1" applyFill="1" applyBorder="1" applyAlignment="1">
      <alignment horizontal="center" vertical="center" wrapText="1"/>
    </xf>
    <xf numFmtId="167" fontId="9" fillId="4" borderId="1" xfId="1" applyNumberFormat="1" applyFont="1" applyFill="1" applyBorder="1" applyAlignment="1">
      <alignment horizontal="center" vertical="center" wrapText="1"/>
    </xf>
    <xf numFmtId="0" fontId="9" fillId="4" borderId="1" xfId="11" applyFont="1" applyFill="1" applyBorder="1" applyAlignment="1">
      <alignment horizontal="center" vertical="center" wrapText="1"/>
    </xf>
    <xf numFmtId="168" fontId="9" fillId="4" borderId="1" xfId="0" applyNumberFormat="1"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167" fontId="12" fillId="4" borderId="1" xfId="1" applyNumberFormat="1" applyFont="1" applyFill="1" applyBorder="1" applyAlignment="1">
      <alignment horizontal="center" vertical="center" wrapText="1"/>
    </xf>
    <xf numFmtId="167" fontId="12" fillId="4" borderId="1" xfId="0" applyNumberFormat="1" applyFont="1" applyFill="1" applyBorder="1" applyAlignment="1">
      <alignment horizontal="center" vertical="center" wrapText="1"/>
    </xf>
    <xf numFmtId="169" fontId="12" fillId="4" borderId="1" xfId="0" applyNumberFormat="1" applyFont="1" applyFill="1" applyBorder="1" applyAlignment="1">
      <alignment horizontal="center" vertical="center" wrapText="1"/>
    </xf>
    <xf numFmtId="168" fontId="12" fillId="4" borderId="1" xfId="0" applyNumberFormat="1" applyFont="1" applyFill="1" applyBorder="1" applyAlignment="1">
      <alignment horizontal="center" vertical="center" wrapText="1"/>
    </xf>
    <xf numFmtId="0" fontId="9" fillId="4" borderId="0" xfId="0" applyFont="1" applyFill="1" applyAlignment="1">
      <alignment horizontal="center" vertical="center" wrapText="1"/>
    </xf>
    <xf numFmtId="3" fontId="9" fillId="4" borderId="0" xfId="0" applyNumberFormat="1" applyFont="1" applyFill="1" applyAlignment="1">
      <alignment horizontal="center" vertical="center" wrapText="1"/>
    </xf>
    <xf numFmtId="0" fontId="12" fillId="4" borderId="1" xfId="0" applyFont="1" applyFill="1" applyBorder="1" applyAlignment="1">
      <alignment vertical="center"/>
    </xf>
    <xf numFmtId="0" fontId="12" fillId="4" borderId="5" xfId="0" applyFont="1" applyFill="1" applyBorder="1" applyAlignment="1">
      <alignment vertical="center"/>
    </xf>
    <xf numFmtId="0" fontId="12" fillId="4" borderId="1" xfId="0" applyFont="1" applyFill="1" applyBorder="1" applyAlignment="1">
      <alignment horizontal="center" vertical="center"/>
    </xf>
    <xf numFmtId="0" fontId="9" fillId="4" borderId="7" xfId="0" applyFont="1" applyFill="1" applyBorder="1" applyAlignment="1">
      <alignment horizontal="center" vertical="center" wrapText="1"/>
    </xf>
    <xf numFmtId="0" fontId="9" fillId="4" borderId="5" xfId="11" applyFont="1" applyFill="1" applyBorder="1" applyAlignment="1">
      <alignment horizontal="center" vertical="center" wrapText="1"/>
    </xf>
    <xf numFmtId="0" fontId="9" fillId="0" borderId="0" xfId="0" applyFont="1" applyAlignment="1">
      <alignment horizontal="center" vertical="center" wrapText="1"/>
    </xf>
    <xf numFmtId="3" fontId="9" fillId="0" borderId="0" xfId="0" applyNumberFormat="1" applyFont="1" applyAlignment="1">
      <alignment horizontal="center" vertical="center" wrapText="1"/>
    </xf>
    <xf numFmtId="0" fontId="9" fillId="5" borderId="0" xfId="0" applyFont="1" applyFill="1" applyAlignment="1">
      <alignment horizontal="center" vertical="center" wrapText="1"/>
    </xf>
    <xf numFmtId="0" fontId="9" fillId="0" borderId="0" xfId="0" applyFont="1"/>
    <xf numFmtId="0" fontId="8" fillId="0" borderId="0" xfId="0" applyFont="1" applyAlignment="1">
      <alignment vertical="center"/>
    </xf>
    <xf numFmtId="167" fontId="6" fillId="0" borderId="0" xfId="0" applyNumberFormat="1" applyFont="1" applyAlignment="1">
      <alignment horizontal="center" vertical="center"/>
    </xf>
    <xf numFmtId="167" fontId="5" fillId="0" borderId="0" xfId="1" applyNumberFormat="1" applyFont="1" applyAlignment="1">
      <alignment horizontal="center" vertical="center"/>
    </xf>
    <xf numFmtId="0" fontId="5" fillId="0" borderId="0" xfId="0" applyFont="1" applyAlignment="1">
      <alignment horizontal="center" vertical="center"/>
    </xf>
    <xf numFmtId="0" fontId="13" fillId="0" borderId="0" xfId="11" applyFont="1" applyAlignment="1">
      <alignment vertical="center" wrapText="1"/>
    </xf>
    <xf numFmtId="0" fontId="6" fillId="0" borderId="0" xfId="0" applyFont="1" applyAlignment="1">
      <alignment vertical="center"/>
    </xf>
    <xf numFmtId="0" fontId="14" fillId="0" borderId="0" xfId="0" applyFont="1" applyAlignment="1">
      <alignment horizontal="left" vertical="top" wrapText="1"/>
    </xf>
    <xf numFmtId="0" fontId="0" fillId="0" borderId="0" xfId="0" applyAlignment="1">
      <alignment horizontal="center" vertical="top" wrapText="1"/>
    </xf>
    <xf numFmtId="0" fontId="0" fillId="0" borderId="0" xfId="0" applyAlignment="1">
      <alignment horizontal="left" vertical="top" wrapText="1"/>
    </xf>
    <xf numFmtId="0" fontId="12"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9" fillId="0" borderId="0" xfId="0" applyFont="1" applyAlignment="1">
      <alignment vertical="center"/>
    </xf>
    <xf numFmtId="0" fontId="9" fillId="0" borderId="0" xfId="0" applyFont="1" applyAlignment="1">
      <alignment horizontal="center" vertical="center"/>
    </xf>
    <xf numFmtId="0" fontId="17" fillId="7" borderId="1" xfId="0" applyFont="1" applyFill="1" applyBorder="1" applyAlignment="1">
      <alignment horizontal="center" vertical="center" wrapText="1"/>
    </xf>
    <xf numFmtId="0" fontId="19" fillId="8" borderId="1" xfId="0" applyFont="1" applyFill="1" applyBorder="1" applyAlignment="1">
      <alignment horizontal="center" vertical="top" wrapText="1"/>
    </xf>
    <xf numFmtId="0" fontId="20" fillId="9" borderId="1" xfId="0" applyFont="1" applyFill="1" applyBorder="1" applyAlignment="1">
      <alignment horizontal="left" vertical="center"/>
    </xf>
    <xf numFmtId="0" fontId="19" fillId="9" borderId="1" xfId="0" applyFont="1" applyFill="1" applyBorder="1" applyAlignment="1">
      <alignment horizontal="center" vertical="center" wrapText="1"/>
    </xf>
    <xf numFmtId="0" fontId="19" fillId="9" borderId="1" xfId="0" applyFont="1" applyFill="1" applyBorder="1" applyAlignment="1">
      <alignment horizontal="center" vertical="center"/>
    </xf>
    <xf numFmtId="0" fontId="21" fillId="9" borderId="1" xfId="0" applyFont="1" applyFill="1" applyBorder="1" applyAlignment="1">
      <alignment horizontal="center" vertical="center" wrapText="1"/>
    </xf>
    <xf numFmtId="0" fontId="19" fillId="8" borderId="1" xfId="0" applyFont="1" applyFill="1" applyBorder="1" applyAlignment="1">
      <alignment horizontal="left" vertical="top" wrapText="1"/>
    </xf>
    <xf numFmtId="169" fontId="12" fillId="0" borderId="0" xfId="0" applyNumberFormat="1" applyFont="1" applyAlignment="1">
      <alignment horizontal="right" vertical="center"/>
    </xf>
    <xf numFmtId="0" fontId="19" fillId="0" borderId="0" xfId="0" applyFont="1" applyAlignment="1">
      <alignment horizontal="left" vertical="top" wrapText="1"/>
    </xf>
    <xf numFmtId="0" fontId="19" fillId="0" borderId="0" xfId="0" applyFont="1" applyAlignment="1">
      <alignment horizontal="center" vertical="top" wrapText="1"/>
    </xf>
    <xf numFmtId="0" fontId="21" fillId="9" borderId="1" xfId="0" applyFont="1" applyFill="1" applyBorder="1" applyAlignment="1">
      <alignment horizontal="center" vertical="top" wrapText="1"/>
    </xf>
    <xf numFmtId="2" fontId="19" fillId="9" borderId="1" xfId="0" applyNumberFormat="1" applyFont="1" applyFill="1" applyBorder="1" applyAlignment="1">
      <alignment horizontal="center" vertical="top" wrapText="1"/>
    </xf>
    <xf numFmtId="2" fontId="18" fillId="8" borderId="1" xfId="0" applyNumberFormat="1" applyFont="1" applyFill="1" applyBorder="1" applyAlignment="1">
      <alignment horizontal="center" wrapText="1"/>
    </xf>
    <xf numFmtId="2" fontId="18" fillId="0" borderId="0" xfId="0" applyNumberFormat="1" applyFont="1" applyAlignment="1">
      <alignment horizontal="center" wrapText="1"/>
    </xf>
    <xf numFmtId="0" fontId="12" fillId="0" borderId="0" xfId="0" applyFont="1" applyAlignment="1">
      <alignment vertical="center" wrapText="1"/>
    </xf>
    <xf numFmtId="0" fontId="23" fillId="0" borderId="0" xfId="0" applyFont="1" applyAlignment="1">
      <alignment vertical="center" wrapText="1"/>
    </xf>
    <xf numFmtId="0" fontId="23" fillId="0" borderId="0" xfId="0" applyFont="1" applyAlignment="1">
      <alignment horizontal="left" vertical="center" wrapText="1"/>
    </xf>
    <xf numFmtId="0" fontId="19" fillId="0" borderId="11" xfId="0" applyFont="1" applyBorder="1" applyAlignment="1">
      <alignment vertical="center"/>
    </xf>
    <xf numFmtId="0" fontId="24" fillId="0" borderId="0" xfId="0" applyFont="1" applyAlignment="1">
      <alignment vertical="center"/>
    </xf>
    <xf numFmtId="2" fontId="18" fillId="8" borderId="1" xfId="0" applyNumberFormat="1" applyFont="1" applyFill="1" applyBorder="1" applyAlignment="1">
      <alignment horizontal="center" vertical="top" wrapText="1"/>
    </xf>
    <xf numFmtId="0" fontId="19" fillId="0" borderId="0" xfId="0" applyFont="1" applyAlignment="1">
      <alignment horizontal="right" vertical="top" wrapText="1"/>
    </xf>
    <xf numFmtId="0" fontId="20" fillId="0" borderId="0" xfId="0" applyFont="1" applyAlignment="1">
      <alignment horizontal="left" vertical="top" wrapText="1"/>
    </xf>
    <xf numFmtId="0" fontId="25" fillId="0" borderId="0" xfId="0" applyFont="1" applyAlignment="1">
      <alignment horizontal="left"/>
    </xf>
    <xf numFmtId="0" fontId="25" fillId="0" borderId="0" xfId="0" applyFont="1"/>
    <xf numFmtId="0" fontId="9" fillId="4" borderId="2" xfId="0" applyFont="1" applyFill="1" applyBorder="1" applyAlignment="1">
      <alignment vertical="center"/>
    </xf>
    <xf numFmtId="0" fontId="9" fillId="4" borderId="10" xfId="0" applyFont="1" applyFill="1" applyBorder="1"/>
    <xf numFmtId="0" fontId="9" fillId="4" borderId="13" xfId="0" applyFont="1" applyFill="1" applyBorder="1"/>
    <xf numFmtId="0" fontId="9" fillId="4" borderId="11" xfId="0" applyFont="1" applyFill="1" applyBorder="1"/>
    <xf numFmtId="0" fontId="12" fillId="4" borderId="4" xfId="0" applyFont="1" applyFill="1" applyBorder="1" applyAlignment="1">
      <alignment horizontal="center" vertical="center" wrapText="1"/>
    </xf>
    <xf numFmtId="0" fontId="12" fillId="4" borderId="14" xfId="0" applyFont="1" applyFill="1" applyBorder="1" applyAlignment="1">
      <alignment horizontal="center" vertical="center" wrapText="1"/>
    </xf>
    <xf numFmtId="9" fontId="9" fillId="4" borderId="7" xfId="2" applyFont="1" applyFill="1" applyBorder="1" applyAlignment="1">
      <alignment horizontal="center" vertical="center" wrapText="1"/>
    </xf>
    <xf numFmtId="4" fontId="9" fillId="4" borderId="1" xfId="11" applyNumberFormat="1" applyFont="1" applyFill="1" applyBorder="1" applyAlignment="1">
      <alignment horizontal="center" vertical="center" wrapText="1"/>
    </xf>
    <xf numFmtId="165" fontId="9" fillId="4" borderId="1" xfId="1" applyNumberFormat="1" applyFont="1" applyFill="1" applyBorder="1" applyAlignment="1">
      <alignment horizontal="center" vertical="center" wrapText="1"/>
    </xf>
    <xf numFmtId="3" fontId="9" fillId="4" borderId="1" xfId="11" applyNumberFormat="1" applyFont="1" applyFill="1" applyBorder="1" applyAlignment="1">
      <alignment horizontal="center" vertical="center" wrapText="1"/>
    </xf>
    <xf numFmtId="165" fontId="9" fillId="4" borderId="1" xfId="0" applyNumberFormat="1" applyFont="1" applyFill="1" applyBorder="1" applyAlignment="1">
      <alignment horizontal="center" vertical="center" wrapText="1"/>
    </xf>
    <xf numFmtId="0" fontId="12" fillId="4" borderId="1" xfId="0" applyFont="1" applyFill="1" applyBorder="1" applyAlignment="1">
      <alignment vertical="center" wrapText="1"/>
    </xf>
    <xf numFmtId="43" fontId="12" fillId="4" borderId="1" xfId="0" applyNumberFormat="1" applyFont="1" applyFill="1" applyBorder="1" applyAlignment="1">
      <alignment vertical="center" wrapText="1"/>
    </xf>
    <xf numFmtId="167" fontId="12" fillId="4" borderId="7" xfId="0" applyNumberFormat="1" applyFont="1" applyFill="1" applyBorder="1" applyAlignment="1">
      <alignment vertical="center" wrapText="1"/>
    </xf>
    <xf numFmtId="167" fontId="12" fillId="4" borderId="1" xfId="0" applyNumberFormat="1" applyFont="1" applyFill="1" applyBorder="1" applyAlignment="1">
      <alignment vertical="center" wrapText="1"/>
    </xf>
    <xf numFmtId="165" fontId="12" fillId="4" borderId="1" xfId="1" applyNumberFormat="1" applyFont="1" applyFill="1" applyBorder="1" applyAlignment="1">
      <alignment horizontal="center" vertical="center" wrapText="1"/>
    </xf>
    <xf numFmtId="164" fontId="12" fillId="4" borderId="1" xfId="0" applyNumberFormat="1" applyFont="1" applyFill="1" applyBorder="1" applyAlignment="1">
      <alignment horizontal="center" vertical="center" wrapText="1"/>
    </xf>
    <xf numFmtId="0" fontId="12" fillId="4" borderId="0" xfId="0" applyFont="1" applyFill="1" applyAlignment="1">
      <alignment vertical="center" wrapText="1"/>
    </xf>
    <xf numFmtId="43" fontId="12" fillId="4" borderId="0" xfId="0" applyNumberFormat="1" applyFont="1" applyFill="1" applyAlignment="1">
      <alignment vertical="center" wrapText="1"/>
    </xf>
    <xf numFmtId="167" fontId="12" fillId="4" borderId="0" xfId="0" applyNumberFormat="1" applyFont="1" applyFill="1" applyAlignment="1">
      <alignment vertical="center" wrapText="1"/>
    </xf>
    <xf numFmtId="165" fontId="12" fillId="4" borderId="0" xfId="1" applyNumberFormat="1" applyFont="1" applyFill="1" applyBorder="1" applyAlignment="1">
      <alignment horizontal="center" vertical="center" wrapText="1"/>
    </xf>
    <xf numFmtId="164" fontId="12" fillId="4" borderId="0" xfId="0" applyNumberFormat="1" applyFont="1" applyFill="1" applyAlignment="1">
      <alignment horizontal="center" vertical="center" wrapText="1"/>
    </xf>
    <xf numFmtId="0" fontId="19" fillId="0" borderId="0" xfId="0" applyFont="1" applyAlignment="1">
      <alignment horizontal="left" vertical="center" wrapText="1"/>
    </xf>
    <xf numFmtId="0" fontId="6" fillId="4" borderId="0" xfId="0" applyFont="1" applyFill="1" applyAlignment="1">
      <alignment vertical="center"/>
    </xf>
    <xf numFmtId="0" fontId="13" fillId="0" borderId="0" xfId="11" applyFont="1" applyAlignment="1">
      <alignment horizontal="center" vertical="center" wrapText="1"/>
    </xf>
    <xf numFmtId="0" fontId="12" fillId="4" borderId="0" xfId="0" applyFont="1" applyFill="1" applyAlignment="1">
      <alignment horizontal="left" vertical="center" wrapText="1"/>
    </xf>
    <xf numFmtId="0" fontId="12" fillId="4" borderId="2" xfId="0" applyFont="1" applyFill="1" applyBorder="1" applyAlignment="1">
      <alignment vertical="center"/>
    </xf>
    <xf numFmtId="0" fontId="12" fillId="4" borderId="0" xfId="0" applyFont="1" applyFill="1" applyAlignment="1">
      <alignment vertical="center"/>
    </xf>
    <xf numFmtId="0" fontId="12" fillId="4" borderId="0" xfId="0" applyFont="1" applyFill="1" applyAlignment="1">
      <alignment horizontal="center" vertical="center"/>
    </xf>
    <xf numFmtId="0" fontId="12" fillId="4" borderId="10" xfId="0" applyFont="1" applyFill="1" applyBorder="1" applyAlignment="1">
      <alignment vertical="center"/>
    </xf>
    <xf numFmtId="0" fontId="9" fillId="4" borderId="11" xfId="0" applyFont="1" applyFill="1" applyBorder="1" applyAlignment="1">
      <alignment horizontal="left" vertical="center"/>
    </xf>
    <xf numFmtId="0" fontId="9" fillId="4" borderId="11" xfId="0" applyFont="1" applyFill="1" applyBorder="1" applyAlignment="1">
      <alignment vertical="center"/>
    </xf>
    <xf numFmtId="0" fontId="9" fillId="4" borderId="11" xfId="0" applyFont="1" applyFill="1" applyBorder="1" applyAlignment="1">
      <alignment horizontal="center" vertical="center"/>
    </xf>
    <xf numFmtId="0" fontId="12" fillId="4" borderId="1" xfId="11" applyFont="1" applyFill="1" applyBorder="1" applyAlignment="1">
      <alignment horizontal="center" vertical="center" wrapText="1"/>
    </xf>
    <xf numFmtId="3" fontId="9" fillId="4" borderId="1" xfId="0" applyNumberFormat="1" applyFont="1" applyFill="1" applyBorder="1" applyAlignment="1">
      <alignment horizontal="center" vertical="center" wrapText="1"/>
    </xf>
    <xf numFmtId="2" fontId="9" fillId="4" borderId="7" xfId="0" applyNumberFormat="1" applyFont="1" applyFill="1" applyBorder="1" applyAlignment="1">
      <alignment horizontal="center" vertical="center" wrapText="1"/>
    </xf>
    <xf numFmtId="1" fontId="9" fillId="4" borderId="1" xfId="1" applyNumberFormat="1" applyFont="1" applyFill="1" applyBorder="1" applyAlignment="1">
      <alignment horizontal="center" vertical="center" wrapText="1"/>
    </xf>
    <xf numFmtId="2" fontId="9" fillId="4"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9" fillId="4" borderId="1" xfId="1" applyNumberFormat="1" applyFont="1" applyFill="1" applyBorder="1" applyAlignment="1">
      <alignment horizontal="center" vertical="center" wrapText="1"/>
    </xf>
    <xf numFmtId="0" fontId="7" fillId="4" borderId="1" xfId="11" applyFont="1" applyFill="1" applyBorder="1" applyAlignment="1">
      <alignment vertical="center" wrapText="1"/>
    </xf>
    <xf numFmtId="3" fontId="7" fillId="4" borderId="7" xfId="0" applyNumberFormat="1" applyFont="1" applyFill="1" applyBorder="1" applyAlignment="1">
      <alignment horizontal="center" vertical="center" wrapText="1"/>
    </xf>
    <xf numFmtId="3" fontId="7" fillId="4" borderId="1" xfId="0" applyNumberFormat="1" applyFont="1" applyFill="1" applyBorder="1" applyAlignment="1">
      <alignment horizontal="center" vertical="center" wrapText="1"/>
    </xf>
    <xf numFmtId="4" fontId="7" fillId="4" borderId="1" xfId="0" applyNumberFormat="1" applyFont="1" applyFill="1" applyBorder="1" applyAlignment="1">
      <alignment horizontal="center" vertical="center" wrapText="1"/>
    </xf>
    <xf numFmtId="0" fontId="7" fillId="4" borderId="8" xfId="11" applyFont="1" applyFill="1" applyBorder="1" applyAlignment="1">
      <alignment vertical="center" wrapText="1"/>
    </xf>
    <xf numFmtId="3" fontId="7" fillId="4" borderId="9" xfId="0" applyNumberFormat="1" applyFont="1" applyFill="1" applyBorder="1" applyAlignment="1">
      <alignment horizontal="center" vertical="center" wrapText="1"/>
    </xf>
    <xf numFmtId="4" fontId="7" fillId="4" borderId="9" xfId="0" applyNumberFormat="1" applyFont="1" applyFill="1" applyBorder="1" applyAlignment="1">
      <alignment horizontal="center" vertical="center" wrapText="1"/>
    </xf>
    <xf numFmtId="0" fontId="7" fillId="4" borderId="5" xfId="11" applyFont="1" applyFill="1" applyBorder="1" applyAlignment="1">
      <alignment vertical="center" wrapText="1"/>
    </xf>
    <xf numFmtId="3" fontId="7" fillId="4" borderId="6" xfId="0" applyNumberFormat="1" applyFont="1" applyFill="1" applyBorder="1" applyAlignment="1">
      <alignment horizontal="center" vertical="center" wrapText="1"/>
    </xf>
    <xf numFmtId="4" fontId="7" fillId="4" borderId="6" xfId="0" applyNumberFormat="1" applyFont="1" applyFill="1" applyBorder="1" applyAlignment="1">
      <alignment horizontal="center" vertical="center" wrapText="1"/>
    </xf>
    <xf numFmtId="0" fontId="18" fillId="0" borderId="15" xfId="11" applyFont="1" applyBorder="1" applyAlignment="1">
      <alignment vertical="center" wrapText="1"/>
    </xf>
    <xf numFmtId="3" fontId="12" fillId="0" borderId="9" xfId="0" applyNumberFormat="1" applyFont="1" applyBorder="1" applyAlignment="1">
      <alignment horizontal="right" vertical="center" wrapText="1"/>
    </xf>
    <xf numFmtId="3" fontId="12" fillId="0" borderId="9" xfId="0" applyNumberFormat="1" applyFont="1" applyBorder="1" applyAlignment="1">
      <alignment horizontal="center" vertical="center" wrapText="1"/>
    </xf>
    <xf numFmtId="9" fontId="12" fillId="0" borderId="9" xfId="2" applyFont="1" applyBorder="1" applyAlignment="1">
      <alignment horizontal="center" vertical="center" wrapText="1"/>
    </xf>
    <xf numFmtId="4" fontId="12" fillId="0" borderId="9" xfId="0" applyNumberFormat="1" applyFont="1" applyBorder="1" applyAlignment="1">
      <alignment horizontal="center" vertical="center" wrapText="1"/>
    </xf>
    <xf numFmtId="0" fontId="9" fillId="4" borderId="1" xfId="11" applyFont="1" applyFill="1" applyBorder="1" applyAlignment="1">
      <alignment vertical="center" wrapText="1"/>
    </xf>
    <xf numFmtId="0" fontId="26" fillId="0" borderId="0" xfId="0" applyFont="1" applyAlignment="1">
      <alignment vertical="center" wrapText="1"/>
    </xf>
    <xf numFmtId="0" fontId="26" fillId="0" borderId="0" xfId="0" applyFont="1" applyAlignment="1">
      <alignment horizontal="center" vertical="center" wrapText="1"/>
    </xf>
    <xf numFmtId="0" fontId="9" fillId="4" borderId="3" xfId="0" applyFont="1" applyFill="1" applyBorder="1" applyAlignment="1">
      <alignment vertical="center"/>
    </xf>
    <xf numFmtId="0" fontId="6" fillId="4" borderId="0" xfId="0" applyFont="1" applyFill="1" applyAlignment="1">
      <alignment horizontal="center" vertical="center"/>
    </xf>
    <xf numFmtId="0" fontId="5"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6" fillId="0" borderId="1" xfId="0" applyFont="1" applyBorder="1" applyAlignment="1">
      <alignment horizontal="center" vertical="center"/>
    </xf>
    <xf numFmtId="164" fontId="9" fillId="4" borderId="1" xfId="1" applyNumberFormat="1" applyFont="1" applyFill="1" applyBorder="1" applyAlignment="1">
      <alignment horizontal="center"/>
    </xf>
    <xf numFmtId="2" fontId="7" fillId="4" borderId="1" xfId="6" applyNumberFormat="1" applyFont="1" applyFill="1" applyBorder="1" applyAlignment="1">
      <alignment horizontal="center" vertical="center"/>
    </xf>
    <xf numFmtId="0" fontId="7" fillId="4" borderId="9" xfId="0" applyFont="1" applyFill="1" applyBorder="1" applyAlignment="1">
      <alignment horizontal="center" vertical="center" wrapText="1"/>
    </xf>
    <xf numFmtId="2" fontId="7" fillId="4" borderId="9" xfId="6" applyNumberFormat="1" applyFont="1" applyFill="1" applyBorder="1" applyAlignment="1">
      <alignment horizontal="center" vertical="center"/>
    </xf>
    <xf numFmtId="0" fontId="7" fillId="4" borderId="6" xfId="0" applyFont="1" applyFill="1" applyBorder="1" applyAlignment="1">
      <alignment horizontal="center" vertical="center" wrapText="1"/>
    </xf>
    <xf numFmtId="2" fontId="7" fillId="4" borderId="6" xfId="6" applyNumberFormat="1" applyFont="1" applyFill="1" applyBorder="1" applyAlignment="1">
      <alignment horizontal="center" vertical="center"/>
    </xf>
    <xf numFmtId="0" fontId="9" fillId="4" borderId="6" xfId="0" applyFont="1" applyFill="1" applyBorder="1" applyAlignment="1">
      <alignment horizontal="center" vertical="center" wrapText="1"/>
    </xf>
    <xf numFmtId="0" fontId="12" fillId="0" borderId="9" xfId="0" applyFont="1" applyBorder="1" applyAlignment="1">
      <alignment horizontal="center" vertical="center" wrapText="1"/>
    </xf>
    <xf numFmtId="43" fontId="18" fillId="0" borderId="9" xfId="6" applyFont="1" applyBorder="1" applyAlignment="1">
      <alignment vertical="center"/>
    </xf>
    <xf numFmtId="0" fontId="9" fillId="0" borderId="9" xfId="0" applyFont="1" applyBorder="1"/>
    <xf numFmtId="0" fontId="19" fillId="4" borderId="9" xfId="0" applyFont="1" applyFill="1" applyBorder="1" applyAlignment="1">
      <alignment horizontal="center"/>
    </xf>
    <xf numFmtId="0" fontId="19" fillId="4" borderId="19" xfId="0" applyFont="1" applyFill="1" applyBorder="1" applyAlignment="1">
      <alignment horizontal="center"/>
    </xf>
    <xf numFmtId="2" fontId="5"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0" fontId="27" fillId="0" borderId="0" xfId="11" applyFont="1" applyAlignment="1">
      <alignment vertical="center" wrapText="1"/>
    </xf>
    <xf numFmtId="0" fontId="9" fillId="4" borderId="0" xfId="0" applyFont="1" applyFill="1" applyAlignment="1">
      <alignment horizontal="left" vertical="center"/>
    </xf>
    <xf numFmtId="0" fontId="9" fillId="4" borderId="0" xfId="0" applyFont="1" applyFill="1" applyAlignment="1">
      <alignment vertical="center"/>
    </xf>
    <xf numFmtId="0" fontId="9" fillId="4" borderId="0" xfId="0" applyFont="1" applyFill="1" applyAlignment="1">
      <alignment horizontal="left"/>
    </xf>
    <xf numFmtId="43" fontId="9" fillId="4" borderId="1" xfId="1" applyFont="1" applyFill="1" applyBorder="1" applyAlignment="1">
      <alignment horizontal="center" vertical="center" wrapText="1"/>
    </xf>
    <xf numFmtId="43" fontId="9" fillId="4" borderId="1" xfId="6" applyFont="1" applyFill="1" applyBorder="1" applyAlignment="1">
      <alignment horizontal="center" vertical="center"/>
    </xf>
    <xf numFmtId="43" fontId="9" fillId="4" borderId="1" xfId="0" applyNumberFormat="1" applyFont="1" applyFill="1" applyBorder="1" applyAlignment="1">
      <alignment horizontal="center" vertical="center"/>
    </xf>
    <xf numFmtId="0" fontId="9" fillId="4" borderId="1" xfId="0" applyFont="1" applyFill="1" applyBorder="1" applyAlignment="1">
      <alignment horizontal="center" vertical="center"/>
    </xf>
    <xf numFmtId="3" fontId="12" fillId="4" borderId="1" xfId="0" applyNumberFormat="1" applyFont="1" applyFill="1" applyBorder="1" applyAlignment="1">
      <alignment horizontal="center" vertical="center" wrapText="1"/>
    </xf>
    <xf numFmtId="43" fontId="12" fillId="4" borderId="1" xfId="6" applyFont="1" applyFill="1" applyBorder="1" applyAlignment="1">
      <alignment horizontal="center" vertical="center"/>
    </xf>
    <xf numFmtId="43" fontId="12" fillId="4" borderId="1" xfId="0" applyNumberFormat="1" applyFont="1" applyFill="1" applyBorder="1" applyAlignment="1">
      <alignment horizontal="center" vertical="center"/>
    </xf>
    <xf numFmtId="0" fontId="18" fillId="0" borderId="0" xfId="11" applyFont="1" applyAlignment="1">
      <alignment horizontal="center" vertical="center" wrapText="1"/>
    </xf>
    <xf numFmtId="3" fontId="12" fillId="0" borderId="0" xfId="0" applyNumberFormat="1" applyFont="1" applyAlignment="1">
      <alignment horizontal="center" vertical="center" wrapText="1"/>
    </xf>
    <xf numFmtId="0" fontId="12" fillId="0" borderId="0" xfId="0" applyFont="1" applyAlignment="1">
      <alignment horizontal="center" vertical="center" wrapText="1"/>
    </xf>
    <xf numFmtId="43" fontId="18" fillId="0" borderId="0" xfId="6" applyFont="1" applyBorder="1" applyAlignment="1">
      <alignment horizontal="center" vertical="center"/>
    </xf>
    <xf numFmtId="43" fontId="18" fillId="0" borderId="0" xfId="0" applyNumberFormat="1" applyFont="1" applyAlignment="1">
      <alignment horizontal="center" vertical="center"/>
    </xf>
    <xf numFmtId="0" fontId="18" fillId="0" borderId="0" xfId="0" applyFont="1" applyAlignment="1">
      <alignment horizontal="center" vertical="center"/>
    </xf>
    <xf numFmtId="0" fontId="12" fillId="4" borderId="0" xfId="11" applyFont="1" applyFill="1" applyAlignment="1">
      <alignment horizontal="center" vertical="center" wrapText="1"/>
    </xf>
    <xf numFmtId="3" fontId="12" fillId="4" borderId="0" xfId="0" applyNumberFormat="1" applyFont="1" applyFill="1" applyAlignment="1">
      <alignment horizontal="center" vertical="center" wrapText="1"/>
    </xf>
    <xf numFmtId="0" fontId="12" fillId="4" borderId="0" xfId="0" applyFont="1" applyFill="1" applyAlignment="1">
      <alignment horizontal="center" vertical="center" wrapText="1"/>
    </xf>
    <xf numFmtId="43" fontId="12" fillId="4" borderId="0" xfId="6" applyFont="1" applyFill="1" applyBorder="1" applyAlignment="1">
      <alignment horizontal="center" vertical="center"/>
    </xf>
    <xf numFmtId="43" fontId="12" fillId="4" borderId="0" xfId="0" applyNumberFormat="1" applyFont="1" applyFill="1" applyAlignment="1">
      <alignment horizontal="center" vertical="center"/>
    </xf>
    <xf numFmtId="0" fontId="12" fillId="4" borderId="1" xfId="11" applyFont="1" applyFill="1" applyBorder="1" applyAlignment="1" applyProtection="1">
      <alignment horizontal="center" vertical="center" wrapText="1"/>
      <protection locked="0"/>
    </xf>
    <xf numFmtId="0" fontId="9" fillId="4" borderId="1" xfId="11" applyFont="1" applyFill="1" applyBorder="1" applyAlignment="1" applyProtection="1">
      <alignment horizontal="center" vertical="center" wrapText="1"/>
      <protection locked="0"/>
    </xf>
    <xf numFmtId="170" fontId="9" fillId="4" borderId="1" xfId="0" applyNumberFormat="1" applyFont="1" applyFill="1" applyBorder="1" applyAlignment="1" applyProtection="1">
      <alignment horizontal="center" vertical="center" wrapText="1"/>
      <protection locked="0"/>
    </xf>
    <xf numFmtId="4" fontId="9" fillId="4" borderId="1" xfId="0" applyNumberFormat="1" applyFont="1" applyFill="1" applyBorder="1" applyAlignment="1" applyProtection="1">
      <alignment horizontal="center" vertical="center"/>
      <protection locked="0"/>
    </xf>
    <xf numFmtId="43" fontId="9" fillId="4" borderId="1" xfId="1" applyFont="1" applyFill="1" applyBorder="1" applyAlignment="1" applyProtection="1">
      <alignment horizontal="center" vertical="center"/>
      <protection locked="0"/>
    </xf>
    <xf numFmtId="0" fontId="12" fillId="4" borderId="1" xfId="11" applyFont="1" applyFill="1" applyBorder="1" applyAlignment="1" applyProtection="1">
      <alignment vertical="center" wrapText="1"/>
      <protection locked="0"/>
    </xf>
    <xf numFmtId="3" fontId="12" fillId="4" borderId="1" xfId="11" applyNumberFormat="1" applyFont="1" applyFill="1" applyBorder="1" applyAlignment="1" applyProtection="1">
      <alignment vertical="center" wrapText="1"/>
      <protection locked="0"/>
    </xf>
    <xf numFmtId="0" fontId="12" fillId="4" borderId="0" xfId="11" applyFont="1" applyFill="1" applyAlignment="1" applyProtection="1">
      <alignment horizontal="center" vertical="center" wrapText="1"/>
      <protection locked="0"/>
    </xf>
    <xf numFmtId="0" fontId="12" fillId="4" borderId="10" xfId="0" applyFont="1" applyFill="1" applyBorder="1" applyAlignment="1">
      <alignment horizontal="center" vertical="center"/>
    </xf>
    <xf numFmtId="0" fontId="12" fillId="4" borderId="11" xfId="0" applyFont="1" applyFill="1" applyBorder="1" applyAlignment="1">
      <alignment horizontal="center" vertical="center"/>
    </xf>
    <xf numFmtId="0" fontId="12" fillId="4" borderId="14" xfId="0" applyFont="1" applyFill="1" applyBorder="1" applyAlignment="1">
      <alignment vertical="center"/>
    </xf>
    <xf numFmtId="0" fontId="12" fillId="4" borderId="14" xfId="0" applyFont="1" applyFill="1" applyBorder="1" applyAlignment="1">
      <alignment horizontal="center" vertical="center"/>
    </xf>
    <xf numFmtId="0" fontId="9" fillId="4" borderId="1" xfId="0" applyFont="1" applyFill="1" applyBorder="1" applyAlignment="1">
      <alignment horizontal="left" vertical="center" wrapText="1"/>
    </xf>
    <xf numFmtId="0" fontId="6" fillId="4" borderId="3" xfId="0" applyFont="1" applyFill="1" applyBorder="1" applyAlignment="1">
      <alignment vertical="center"/>
    </xf>
    <xf numFmtId="0" fontId="9" fillId="4" borderId="0" xfId="0" applyFont="1" applyFill="1" applyAlignment="1">
      <alignment horizontal="center" vertical="center"/>
    </xf>
    <xf numFmtId="0" fontId="9" fillId="4" borderId="11" xfId="0" applyFont="1" applyFill="1" applyBorder="1" applyAlignment="1">
      <alignment horizontal="center"/>
    </xf>
    <xf numFmtId="0" fontId="6" fillId="4" borderId="0" xfId="0" applyFont="1" applyFill="1"/>
    <xf numFmtId="0" fontId="6" fillId="4" borderId="3" xfId="0" applyFont="1" applyFill="1" applyBorder="1"/>
    <xf numFmtId="0" fontId="6" fillId="4" borderId="11" xfId="11" applyFont="1" applyFill="1" applyBorder="1" applyAlignment="1">
      <alignment vertical="center" wrapText="1"/>
    </xf>
    <xf numFmtId="0" fontId="6" fillId="4" borderId="13" xfId="11" applyFont="1" applyFill="1" applyBorder="1" applyAlignment="1">
      <alignment vertical="center" wrapText="1"/>
    </xf>
    <xf numFmtId="165" fontId="12" fillId="4" borderId="1" xfId="6" applyNumberFormat="1" applyFont="1" applyFill="1" applyBorder="1" applyAlignment="1">
      <alignment horizontal="center" vertical="center" wrapText="1"/>
    </xf>
    <xf numFmtId="171" fontId="9" fillId="4" borderId="1" xfId="0" applyNumberFormat="1" applyFont="1" applyFill="1" applyBorder="1" applyAlignment="1">
      <alignment horizontal="center" vertical="center"/>
    </xf>
    <xf numFmtId="165" fontId="9" fillId="4" borderId="1" xfId="6" applyNumberFormat="1" applyFont="1" applyFill="1" applyBorder="1" applyAlignment="1">
      <alignment horizontal="center" vertical="center"/>
    </xf>
    <xf numFmtId="0" fontId="19" fillId="0" borderId="0" xfId="11" applyFont="1" applyAlignment="1">
      <alignment vertical="center" wrapText="1"/>
    </xf>
    <xf numFmtId="167" fontId="12" fillId="4" borderId="1" xfId="0" applyNumberFormat="1" applyFont="1" applyFill="1" applyBorder="1" applyAlignment="1">
      <alignment horizontal="center" vertical="center"/>
    </xf>
    <xf numFmtId="165" fontId="12" fillId="4" borderId="1" xfId="0" applyNumberFormat="1" applyFont="1" applyFill="1" applyBorder="1" applyAlignment="1">
      <alignment horizontal="center" vertical="center"/>
    </xf>
    <xf numFmtId="167" fontId="18" fillId="0" borderId="0" xfId="0" applyNumberFormat="1" applyFont="1" applyAlignment="1">
      <alignment horizontal="center" vertical="center"/>
    </xf>
    <xf numFmtId="0" fontId="18" fillId="0" borderId="0" xfId="11" applyFont="1" applyAlignment="1">
      <alignment vertical="center" wrapText="1"/>
    </xf>
    <xf numFmtId="0" fontId="12" fillId="4" borderId="0" xfId="11" applyFont="1" applyFill="1" applyAlignment="1">
      <alignment vertical="center" wrapText="1"/>
    </xf>
    <xf numFmtId="167" fontId="12" fillId="4" borderId="0" xfId="0" applyNumberFormat="1" applyFont="1" applyFill="1" applyAlignment="1">
      <alignment horizontal="center" vertical="center"/>
    </xf>
    <xf numFmtId="43" fontId="9" fillId="4" borderId="1" xfId="5" applyFont="1" applyFill="1" applyBorder="1" applyAlignment="1" applyProtection="1">
      <alignment horizontal="center" vertical="center" wrapText="1"/>
      <protection locked="0"/>
    </xf>
    <xf numFmtId="0" fontId="9" fillId="4" borderId="1" xfId="11" applyFont="1" applyFill="1" applyBorder="1" applyAlignment="1" applyProtection="1">
      <alignment horizontal="center" vertical="center"/>
      <protection locked="0"/>
    </xf>
    <xf numFmtId="172" fontId="9" fillId="4" borderId="1" xfId="1" applyNumberFormat="1" applyFont="1" applyFill="1" applyBorder="1" applyAlignment="1" applyProtection="1">
      <alignment horizontal="center" vertical="center" wrapText="1"/>
      <protection locked="0"/>
    </xf>
    <xf numFmtId="167" fontId="9" fillId="4" borderId="1" xfId="1" applyNumberFormat="1" applyFont="1" applyFill="1" applyBorder="1" applyAlignment="1" applyProtection="1">
      <alignment horizontal="center" vertical="center"/>
      <protection locked="0"/>
    </xf>
    <xf numFmtId="43" fontId="12" fillId="4" borderId="1" xfId="11" applyNumberFormat="1" applyFont="1" applyFill="1" applyBorder="1" applyAlignment="1" applyProtection="1">
      <alignment vertical="center" wrapText="1"/>
      <protection locked="0"/>
    </xf>
    <xf numFmtId="0" fontId="12" fillId="4" borderId="1" xfId="11" applyFont="1" applyFill="1" applyBorder="1" applyAlignment="1">
      <alignment vertical="center" wrapText="1"/>
    </xf>
    <xf numFmtId="173" fontId="12" fillId="4" borderId="1" xfId="5" applyNumberFormat="1" applyFont="1" applyFill="1" applyBorder="1" applyAlignment="1" applyProtection="1">
      <alignment horizontal="center" vertical="center"/>
      <protection locked="0"/>
    </xf>
    <xf numFmtId="174" fontId="12" fillId="4" borderId="1" xfId="1" applyNumberFormat="1" applyFont="1" applyFill="1" applyBorder="1" applyAlignment="1" applyProtection="1">
      <alignment vertical="center" wrapText="1"/>
      <protection locked="0"/>
    </xf>
    <xf numFmtId="174" fontId="12" fillId="4" borderId="1" xfId="1" applyNumberFormat="1" applyFont="1" applyFill="1" applyBorder="1" applyAlignment="1">
      <alignment vertical="center" wrapText="1"/>
    </xf>
    <xf numFmtId="173" fontId="12" fillId="4" borderId="0" xfId="5" applyNumberFormat="1" applyFont="1" applyFill="1" applyBorder="1" applyAlignment="1" applyProtection="1">
      <alignment horizontal="center" vertical="center"/>
      <protection locked="0"/>
    </xf>
    <xf numFmtId="165" fontId="9" fillId="4" borderId="0" xfId="5" applyNumberFormat="1" applyFont="1" applyFill="1" applyBorder="1" applyAlignment="1" applyProtection="1">
      <alignment horizontal="center" vertical="center" wrapText="1"/>
      <protection locked="0"/>
    </xf>
    <xf numFmtId="165" fontId="18" fillId="0" borderId="0" xfId="11" applyNumberFormat="1" applyFont="1" applyAlignment="1">
      <alignment vertical="center" wrapText="1"/>
    </xf>
    <xf numFmtId="165" fontId="9" fillId="4" borderId="1" xfId="5" applyNumberFormat="1" applyFont="1" applyFill="1" applyBorder="1" applyAlignment="1" applyProtection="1">
      <alignment horizontal="center" vertical="center" wrapText="1"/>
      <protection locked="0"/>
    </xf>
    <xf numFmtId="165" fontId="12" fillId="4" borderId="1" xfId="5" applyNumberFormat="1" applyFont="1" applyFill="1" applyBorder="1" applyAlignment="1" applyProtection="1">
      <alignment horizontal="center" vertical="center" wrapText="1"/>
      <protection locked="0"/>
    </xf>
    <xf numFmtId="0" fontId="12" fillId="4" borderId="13" xfId="0" applyFont="1" applyFill="1" applyBorder="1" applyAlignment="1">
      <alignment horizontal="center" vertical="center"/>
    </xf>
    <xf numFmtId="0" fontId="28" fillId="0" borderId="0" xfId="0" applyFont="1"/>
    <xf numFmtId="0" fontId="29" fillId="0" borderId="0" xfId="0" applyFont="1"/>
    <xf numFmtId="0" fontId="29" fillId="0" borderId="0" xfId="0" applyFont="1" applyAlignment="1">
      <alignment horizontal="center" vertical="center"/>
    </xf>
    <xf numFmtId="167" fontId="30" fillId="0" borderId="0" xfId="3" applyNumberFormat="1" applyFont="1" applyAlignment="1">
      <alignment horizontal="center" vertical="center"/>
    </xf>
    <xf numFmtId="0" fontId="29" fillId="11" borderId="0" xfId="0" applyFont="1" applyFill="1" applyAlignment="1">
      <alignment horizontal="center" vertical="center"/>
    </xf>
    <xf numFmtId="0" fontId="29" fillId="4" borderId="2" xfId="0" applyFont="1" applyFill="1" applyBorder="1" applyAlignment="1">
      <alignment horizontal="center"/>
    </xf>
    <xf numFmtId="0" fontId="29" fillId="4" borderId="0" xfId="0" applyFont="1" applyFill="1" applyAlignment="1">
      <alignment horizontal="center"/>
    </xf>
    <xf numFmtId="0" fontId="31" fillId="4" borderId="0" xfId="0" applyFont="1" applyFill="1" applyAlignment="1">
      <alignment horizontal="center" vertical="center" wrapText="1"/>
    </xf>
    <xf numFmtId="167" fontId="9" fillId="4" borderId="0" xfId="3" applyNumberFormat="1" applyFont="1" applyFill="1" applyBorder="1" applyAlignment="1">
      <alignment horizontal="center" vertical="center"/>
    </xf>
    <xf numFmtId="0" fontId="11" fillId="4" borderId="10" xfId="0" applyFont="1" applyFill="1" applyBorder="1" applyAlignment="1">
      <alignment vertical="center"/>
    </xf>
    <xf numFmtId="167" fontId="9" fillId="4" borderId="11" xfId="3" applyNumberFormat="1" applyFont="1" applyFill="1" applyBorder="1" applyAlignment="1">
      <alignment horizontal="center" vertical="center"/>
    </xf>
    <xf numFmtId="0" fontId="12" fillId="0" borderId="0" xfId="0" applyFont="1" applyAlignment="1">
      <alignment horizontal="right" vertical="center" wrapText="1"/>
    </xf>
    <xf numFmtId="0" fontId="9" fillId="4" borderId="2" xfId="0" applyFont="1" applyFill="1" applyBorder="1"/>
    <xf numFmtId="0" fontId="31" fillId="4" borderId="3" xfId="0" applyFont="1" applyFill="1" applyBorder="1" applyAlignment="1">
      <alignment horizontal="center" vertical="center" wrapText="1"/>
    </xf>
    <xf numFmtId="10" fontId="9" fillId="4" borderId="1" xfId="0" applyNumberFormat="1" applyFont="1" applyFill="1" applyBorder="1" applyAlignment="1">
      <alignment horizontal="center" vertical="center" wrapText="1"/>
    </xf>
    <xf numFmtId="0" fontId="32" fillId="0" borderId="5" xfId="0" applyFont="1" applyBorder="1" applyAlignment="1">
      <alignment vertical="center" wrapText="1"/>
    </xf>
    <xf numFmtId="0" fontId="33" fillId="0" borderId="1" xfId="0" applyFont="1" applyBorder="1" applyAlignment="1">
      <alignment horizontal="center" vertical="center" wrapText="1"/>
    </xf>
    <xf numFmtId="0" fontId="34" fillId="0" borderId="1" xfId="0" applyFont="1" applyBorder="1" applyAlignment="1">
      <alignment vertical="center" wrapText="1"/>
    </xf>
    <xf numFmtId="0" fontId="35" fillId="0" borderId="0" xfId="0" applyFont="1" applyAlignment="1">
      <alignment horizontal="center" vertical="center" wrapText="1"/>
    </xf>
    <xf numFmtId="0" fontId="34" fillId="0" borderId="1" xfId="0" applyFont="1" applyBorder="1" applyAlignment="1">
      <alignment horizontal="center" vertical="center"/>
    </xf>
    <xf numFmtId="0" fontId="34" fillId="0" borderId="5" xfId="0" applyFont="1" applyBorder="1" applyAlignment="1">
      <alignment vertical="center" wrapText="1"/>
    </xf>
    <xf numFmtId="0" fontId="35" fillId="0" borderId="1" xfId="0" applyFont="1" applyBorder="1" applyAlignment="1">
      <alignment horizontal="center" vertical="center" wrapText="1"/>
    </xf>
    <xf numFmtId="16" fontId="35" fillId="0" borderId="0" xfId="0" applyNumberFormat="1" applyFont="1" applyAlignment="1">
      <alignment horizontal="center" vertical="center" wrapText="1"/>
    </xf>
    <xf numFmtId="17" fontId="33" fillId="0" borderId="1" xfId="0" applyNumberFormat="1" applyFont="1" applyBorder="1" applyAlignment="1">
      <alignment horizontal="center" vertical="center" wrapText="1"/>
    </xf>
    <xf numFmtId="173" fontId="12" fillId="4" borderId="1" xfId="1" applyNumberFormat="1" applyFont="1" applyFill="1" applyBorder="1" applyAlignment="1">
      <alignment horizontal="center" vertical="center" wrapText="1"/>
    </xf>
    <xf numFmtId="10" fontId="28" fillId="0" borderId="0" xfId="2" applyNumberFormat="1" applyFont="1"/>
    <xf numFmtId="165" fontId="12" fillId="0" borderId="0" xfId="1" applyNumberFormat="1" applyFont="1" applyFill="1" applyBorder="1" applyAlignment="1">
      <alignment horizontal="center" vertical="center" wrapText="1"/>
    </xf>
    <xf numFmtId="0" fontId="23" fillId="12" borderId="1" xfId="0" applyFont="1" applyFill="1" applyBorder="1" applyAlignment="1">
      <alignment horizontal="center" vertical="center" wrapText="1"/>
    </xf>
    <xf numFmtId="0" fontId="32" fillId="0" borderId="1" xfId="0" applyFont="1" applyBorder="1" applyAlignment="1">
      <alignment horizontal="center" vertical="center"/>
    </xf>
    <xf numFmtId="167" fontId="9" fillId="4" borderId="1" xfId="1" applyNumberFormat="1" applyFont="1" applyFill="1" applyBorder="1" applyAlignment="1">
      <alignment vertical="center"/>
    </xf>
    <xf numFmtId="0" fontId="6" fillId="4" borderId="2" xfId="0" applyFont="1" applyFill="1" applyBorder="1"/>
    <xf numFmtId="172" fontId="9" fillId="4" borderId="1" xfId="1"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166" fontId="9" fillId="4" borderId="0" xfId="0" applyNumberFormat="1" applyFont="1" applyFill="1"/>
    <xf numFmtId="172" fontId="9" fillId="4" borderId="0" xfId="1" applyNumberFormat="1" applyFont="1" applyFill="1"/>
    <xf numFmtId="43" fontId="9" fillId="0" borderId="0" xfId="0" applyNumberFormat="1" applyFont="1"/>
    <xf numFmtId="165" fontId="9" fillId="8" borderId="1" xfId="1" applyNumberFormat="1" applyFont="1" applyFill="1" applyBorder="1" applyAlignment="1">
      <alignment horizontal="center" vertical="center" wrapText="1"/>
    </xf>
    <xf numFmtId="165" fontId="12" fillId="8" borderId="1" xfId="1" applyNumberFormat="1" applyFont="1" applyFill="1" applyBorder="1" applyAlignment="1">
      <alignment horizontal="center" vertical="center" wrapText="1"/>
    </xf>
    <xf numFmtId="166" fontId="9" fillId="0" borderId="0" xfId="0" applyNumberFormat="1" applyFont="1"/>
    <xf numFmtId="172" fontId="9" fillId="0" borderId="0" xfId="1" applyNumberFormat="1" applyFont="1"/>
    <xf numFmtId="172" fontId="12" fillId="0" borderId="0" xfId="1" applyNumberFormat="1" applyFont="1"/>
    <xf numFmtId="0" fontId="0" fillId="0" borderId="0" xfId="0" applyAlignment="1">
      <alignment horizontal="center" vertical="center"/>
    </xf>
    <xf numFmtId="10" fontId="9" fillId="4" borderId="1" xfId="1" applyNumberFormat="1" applyFont="1" applyFill="1" applyBorder="1" applyAlignment="1">
      <alignment horizontal="center" vertical="center" wrapText="1"/>
    </xf>
    <xf numFmtId="167" fontId="12" fillId="4" borderId="1" xfId="1" applyNumberFormat="1" applyFont="1" applyFill="1" applyBorder="1" applyAlignment="1">
      <alignment vertical="center" wrapText="1"/>
    </xf>
    <xf numFmtId="165" fontId="12" fillId="4" borderId="1" xfId="1" applyNumberFormat="1" applyFont="1" applyFill="1" applyBorder="1" applyAlignment="1">
      <alignment vertical="center" wrapText="1"/>
    </xf>
    <xf numFmtId="0" fontId="19" fillId="0" borderId="0" xfId="0" applyFont="1"/>
    <xf numFmtId="167" fontId="19" fillId="0" borderId="0" xfId="0" applyNumberFormat="1" applyFont="1"/>
    <xf numFmtId="43" fontId="9" fillId="4" borderId="0" xfId="1" applyFont="1" applyFill="1" applyBorder="1" applyAlignment="1">
      <alignment horizontal="center"/>
    </xf>
    <xf numFmtId="0" fontId="29" fillId="4" borderId="10" xfId="0" applyFont="1" applyFill="1" applyBorder="1"/>
    <xf numFmtId="0" fontId="29" fillId="4" borderId="11" xfId="0" applyFont="1" applyFill="1" applyBorder="1"/>
    <xf numFmtId="167" fontId="9" fillId="4" borderId="1" xfId="1" applyNumberFormat="1" applyFont="1" applyFill="1" applyBorder="1" applyAlignment="1">
      <alignment horizontal="center" vertical="center"/>
    </xf>
    <xf numFmtId="0" fontId="0" fillId="0" borderId="0" xfId="0" applyAlignment="1">
      <alignment horizontal="center" vertical="center" wrapText="1"/>
    </xf>
    <xf numFmtId="0" fontId="29" fillId="4" borderId="13" xfId="0" applyFont="1" applyFill="1" applyBorder="1"/>
    <xf numFmtId="0" fontId="6" fillId="0" borderId="2" xfId="0" applyFont="1" applyBorder="1"/>
    <xf numFmtId="0" fontId="6" fillId="0" borderId="3" xfId="0" applyFont="1" applyBorder="1"/>
    <xf numFmtId="0" fontId="9" fillId="0" borderId="2" xfId="0" applyFont="1" applyBorder="1" applyAlignment="1">
      <alignment vertical="center"/>
    </xf>
    <xf numFmtId="0" fontId="9" fillId="0" borderId="3" xfId="0" applyFont="1" applyBorder="1"/>
    <xf numFmtId="0" fontId="10" fillId="0" borderId="2" xfId="0" applyFont="1" applyBorder="1" applyAlignment="1">
      <alignment vertical="center"/>
    </xf>
    <xf numFmtId="0" fontId="11" fillId="0" borderId="2" xfId="0" applyFont="1" applyBorder="1" applyAlignment="1">
      <alignment vertical="center"/>
    </xf>
    <xf numFmtId="0" fontId="9" fillId="0" borderId="10" xfId="0" applyFont="1" applyBorder="1"/>
    <xf numFmtId="0" fontId="9" fillId="0" borderId="11" xfId="0" applyFont="1" applyBorder="1"/>
    <xf numFmtId="0" fontId="9" fillId="0" borderId="13" xfId="0" applyFont="1" applyBorder="1"/>
    <xf numFmtId="167" fontId="9" fillId="4" borderId="1" xfId="1" applyNumberFormat="1" applyFont="1" applyFill="1" applyBorder="1" applyAlignment="1">
      <alignment vertical="center" wrapText="1"/>
    </xf>
    <xf numFmtId="165" fontId="9" fillId="4" borderId="1" xfId="1" applyNumberFormat="1" applyFont="1" applyFill="1" applyBorder="1" applyAlignment="1">
      <alignment vertical="center" wrapText="1"/>
    </xf>
    <xf numFmtId="175" fontId="9" fillId="4" borderId="1" xfId="2" applyNumberFormat="1" applyFont="1" applyFill="1" applyBorder="1" applyAlignment="1">
      <alignment horizontal="center" vertical="center" wrapText="1"/>
    </xf>
    <xf numFmtId="0" fontId="7" fillId="4" borderId="1" xfId="0" applyFont="1" applyFill="1" applyBorder="1" applyAlignment="1">
      <alignment vertical="center" wrapText="1"/>
    </xf>
    <xf numFmtId="43" fontId="7" fillId="4" borderId="1" xfId="0" applyNumberFormat="1" applyFont="1" applyFill="1" applyBorder="1" applyAlignment="1">
      <alignment vertical="center" wrapText="1"/>
    </xf>
    <xf numFmtId="165" fontId="7" fillId="4" borderId="1" xfId="1" applyNumberFormat="1" applyFont="1" applyFill="1" applyBorder="1" applyAlignment="1">
      <alignment horizontal="center" vertical="center" wrapText="1"/>
    </xf>
    <xf numFmtId="43" fontId="9" fillId="4" borderId="1" xfId="1" applyFont="1" applyFill="1" applyBorder="1" applyAlignment="1">
      <alignment horizontal="center" vertical="center"/>
    </xf>
    <xf numFmtId="0" fontId="12" fillId="4" borderId="0" xfId="0" applyFont="1" applyFill="1"/>
    <xf numFmtId="0" fontId="6" fillId="4" borderId="8" xfId="0" applyFont="1" applyFill="1" applyBorder="1"/>
    <xf numFmtId="0" fontId="6" fillId="4" borderId="9" xfId="0" applyFont="1" applyFill="1" applyBorder="1"/>
    <xf numFmtId="9" fontId="9" fillId="4" borderId="1" xfId="0" applyNumberFormat="1" applyFont="1" applyFill="1" applyBorder="1" applyAlignment="1">
      <alignment horizontal="center" vertical="center" wrapText="1"/>
    </xf>
    <xf numFmtId="0" fontId="9" fillId="4" borderId="1" xfId="0" applyFont="1" applyFill="1" applyBorder="1"/>
    <xf numFmtId="0" fontId="6" fillId="4" borderId="12" xfId="0" applyFont="1" applyFill="1" applyBorder="1"/>
    <xf numFmtId="0" fontId="25" fillId="4" borderId="0" xfId="0" applyFont="1" applyFill="1"/>
    <xf numFmtId="0" fontId="25" fillId="4" borderId="2" xfId="0" applyFont="1" applyFill="1" applyBorder="1"/>
    <xf numFmtId="0" fontId="8" fillId="4" borderId="2" xfId="0" applyFont="1" applyFill="1" applyBorder="1" applyAlignment="1">
      <alignment vertical="center"/>
    </xf>
    <xf numFmtId="0" fontId="25" fillId="4" borderId="11" xfId="0" applyFont="1" applyFill="1" applyBorder="1" applyAlignment="1">
      <alignment vertical="center"/>
    </xf>
    <xf numFmtId="0" fontId="40" fillId="4" borderId="14" xfId="0" applyFont="1" applyFill="1" applyBorder="1" applyAlignment="1">
      <alignment horizontal="center" vertical="center" wrapText="1"/>
    </xf>
    <xf numFmtId="9" fontId="41" fillId="4" borderId="1" xfId="0" applyNumberFormat="1" applyFont="1" applyFill="1" applyBorder="1" applyAlignment="1">
      <alignment horizontal="center" vertical="center" wrapText="1"/>
    </xf>
    <xf numFmtId="10" fontId="41" fillId="4" borderId="1" xfId="0" applyNumberFormat="1" applyFont="1" applyFill="1" applyBorder="1" applyAlignment="1">
      <alignment horizontal="center" vertical="center" wrapText="1"/>
    </xf>
    <xf numFmtId="9" fontId="41" fillId="4" borderId="5" xfId="0" applyNumberFormat="1" applyFont="1" applyFill="1" applyBorder="1" applyAlignment="1">
      <alignment horizontal="center" vertical="center" wrapText="1"/>
    </xf>
    <xf numFmtId="0" fontId="12" fillId="4" borderId="7" xfId="0" applyFont="1" applyFill="1" applyBorder="1" applyAlignment="1">
      <alignment vertical="center" wrapText="1"/>
    </xf>
    <xf numFmtId="0" fontId="9" fillId="4" borderId="8" xfId="0" applyFont="1" applyFill="1" applyBorder="1"/>
    <xf numFmtId="0" fontId="9" fillId="4" borderId="9" xfId="0" applyFont="1" applyFill="1" applyBorder="1"/>
    <xf numFmtId="0" fontId="25" fillId="4" borderId="9" xfId="0" applyFont="1" applyFill="1" applyBorder="1"/>
    <xf numFmtId="0" fontId="25" fillId="4" borderId="0" xfId="0" applyFont="1" applyFill="1" applyAlignment="1">
      <alignment horizontal="center" vertical="center"/>
    </xf>
    <xf numFmtId="0" fontId="25" fillId="4" borderId="3" xfId="0" applyFont="1" applyFill="1" applyBorder="1"/>
    <xf numFmtId="0" fontId="25" fillId="4" borderId="13" xfId="0" applyFont="1" applyFill="1" applyBorder="1"/>
    <xf numFmtId="0" fontId="25" fillId="4" borderId="12" xfId="0" applyFont="1" applyFill="1" applyBorder="1"/>
    <xf numFmtId="164" fontId="25" fillId="4" borderId="0" xfId="0" applyNumberFormat="1" applyFont="1" applyFill="1"/>
    <xf numFmtId="0" fontId="9" fillId="0" borderId="2" xfId="0" applyFont="1" applyBorder="1"/>
    <xf numFmtId="0" fontId="19" fillId="0" borderId="0" xfId="0" applyFont="1" applyAlignment="1">
      <alignment vertical="center"/>
    </xf>
    <xf numFmtId="0" fontId="25" fillId="0" borderId="0" xfId="0" applyFont="1" applyAlignment="1">
      <alignment horizontal="center" vertical="center"/>
    </xf>
    <xf numFmtId="9" fontId="9" fillId="4" borderId="1" xfId="2" applyFont="1" applyFill="1" applyBorder="1" applyAlignment="1">
      <alignment horizontal="center" vertical="center" wrapText="1"/>
    </xf>
    <xf numFmtId="0" fontId="25" fillId="0" borderId="2" xfId="0" applyFont="1" applyBorder="1"/>
    <xf numFmtId="174" fontId="9" fillId="4" borderId="1" xfId="0" applyNumberFormat="1" applyFont="1" applyFill="1" applyBorder="1" applyAlignment="1">
      <alignment horizontal="center" vertical="center" wrapText="1"/>
    </xf>
    <xf numFmtId="0" fontId="25" fillId="0" borderId="3" xfId="0" applyFont="1" applyBorder="1"/>
    <xf numFmtId="43" fontId="9" fillId="4" borderId="1" xfId="1" applyFont="1" applyFill="1" applyBorder="1" applyAlignment="1">
      <alignment vertical="center" wrapText="1"/>
    </xf>
    <xf numFmtId="173" fontId="9" fillId="4" borderId="1" xfId="1" applyNumberFormat="1" applyFont="1" applyFill="1" applyBorder="1" applyAlignment="1">
      <alignment horizontal="center" vertical="center" wrapText="1"/>
    </xf>
    <xf numFmtId="173" fontId="12" fillId="4" borderId="1" xfId="0" applyNumberFormat="1" applyFont="1" applyFill="1" applyBorder="1" applyAlignment="1">
      <alignment vertical="center" wrapText="1"/>
    </xf>
    <xf numFmtId="174" fontId="12" fillId="4" borderId="1" xfId="0" applyNumberFormat="1" applyFont="1" applyFill="1" applyBorder="1" applyAlignment="1">
      <alignment vertical="center" wrapText="1"/>
    </xf>
    <xf numFmtId="0" fontId="17" fillId="4" borderId="1" xfId="0" applyFont="1" applyFill="1" applyBorder="1" applyAlignment="1">
      <alignment horizontal="center" vertical="center"/>
    </xf>
    <xf numFmtId="174" fontId="9" fillId="4" borderId="1" xfId="1" applyNumberFormat="1" applyFont="1" applyFill="1" applyBorder="1" applyAlignment="1">
      <alignment horizontal="center" vertical="center" wrapText="1"/>
    </xf>
    <xf numFmtId="174" fontId="12" fillId="4" borderId="1" xfId="1" applyNumberFormat="1" applyFont="1" applyFill="1" applyBorder="1" applyAlignment="1">
      <alignment horizontal="center" vertical="center" wrapText="1"/>
    </xf>
    <xf numFmtId="174" fontId="7" fillId="4" borderId="1" xfId="0" applyNumberFormat="1" applyFont="1" applyFill="1" applyBorder="1" applyAlignment="1">
      <alignment vertical="center" wrapText="1"/>
    </xf>
    <xf numFmtId="172" fontId="7" fillId="4" borderId="1" xfId="0" applyNumberFormat="1" applyFont="1" applyFill="1" applyBorder="1" applyAlignment="1">
      <alignment vertical="center" wrapText="1"/>
    </xf>
    <xf numFmtId="167" fontId="7" fillId="4" borderId="1" xfId="0" applyNumberFormat="1" applyFont="1" applyFill="1" applyBorder="1" applyAlignment="1">
      <alignment vertical="center" wrapText="1"/>
    </xf>
    <xf numFmtId="0" fontId="9" fillId="4" borderId="14" xfId="0" applyFont="1" applyFill="1" applyBorder="1" applyAlignment="1">
      <alignment horizontal="center" vertical="center"/>
    </xf>
    <xf numFmtId="43" fontId="7" fillId="4" borderId="1" xfId="1" applyFont="1" applyFill="1" applyBorder="1" applyAlignment="1">
      <alignment horizontal="center" vertical="center" wrapText="1"/>
    </xf>
    <xf numFmtId="172" fontId="7" fillId="4" borderId="1" xfId="1" applyNumberFormat="1"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172" fontId="9" fillId="4" borderId="1" xfId="0" applyNumberFormat="1" applyFont="1" applyFill="1" applyBorder="1" applyAlignment="1">
      <alignment horizontal="center" vertical="center" wrapText="1"/>
    </xf>
    <xf numFmtId="0" fontId="44" fillId="0" borderId="0" xfId="0" applyFont="1"/>
    <xf numFmtId="165" fontId="44" fillId="0" borderId="0" xfId="1" applyNumberFormat="1" applyFont="1"/>
    <xf numFmtId="0" fontId="45" fillId="0" borderId="0" xfId="0" applyFont="1" applyAlignment="1">
      <alignment vertical="center"/>
    </xf>
    <xf numFmtId="0" fontId="16" fillId="14"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2" fillId="8" borderId="5" xfId="0" applyFont="1" applyFill="1" applyBorder="1" applyAlignment="1">
      <alignment vertical="center" wrapText="1"/>
    </xf>
    <xf numFmtId="0" fontId="12" fillId="8" borderId="6" xfId="0" applyFont="1" applyFill="1" applyBorder="1" applyAlignment="1">
      <alignment vertical="center" wrapText="1"/>
    </xf>
    <xf numFmtId="165" fontId="9" fillId="9" borderId="1" xfId="3" applyNumberFormat="1" applyFont="1" applyFill="1" applyBorder="1" applyAlignment="1">
      <alignment vertical="center" wrapText="1"/>
    </xf>
    <xf numFmtId="0" fontId="49" fillId="9" borderId="1" xfId="0" applyFont="1" applyFill="1" applyBorder="1" applyAlignment="1">
      <alignment horizontal="left" vertical="center" wrapText="1"/>
    </xf>
    <xf numFmtId="172" fontId="9" fillId="9" borderId="1" xfId="3" applyNumberFormat="1" applyFont="1" applyFill="1" applyBorder="1" applyAlignment="1">
      <alignment vertical="center" wrapText="1"/>
    </xf>
    <xf numFmtId="0" fontId="12" fillId="8" borderId="7" xfId="0" applyFont="1" applyFill="1" applyBorder="1" applyAlignment="1">
      <alignment vertical="center" wrapText="1"/>
    </xf>
    <xf numFmtId="165" fontId="12" fillId="9" borderId="1" xfId="1" applyNumberFormat="1" applyFont="1" applyFill="1" applyBorder="1" applyAlignment="1">
      <alignment horizontal="center" vertical="center" wrapText="1"/>
    </xf>
    <xf numFmtId="165" fontId="12" fillId="8" borderId="7" xfId="0" applyNumberFormat="1" applyFont="1" applyFill="1" applyBorder="1" applyAlignment="1">
      <alignment vertical="center" wrapText="1"/>
    </xf>
    <xf numFmtId="165" fontId="17" fillId="7" borderId="1" xfId="1" applyNumberFormat="1" applyFont="1" applyFill="1" applyBorder="1" applyAlignment="1">
      <alignment vertical="center"/>
    </xf>
    <xf numFmtId="0" fontId="17" fillId="7" borderId="1" xfId="0" applyFont="1" applyFill="1" applyBorder="1" applyAlignment="1">
      <alignment horizontal="center" vertical="center"/>
    </xf>
    <xf numFmtId="0" fontId="50" fillId="0" borderId="0" xfId="0" applyFont="1"/>
    <xf numFmtId="165" fontId="12" fillId="4" borderId="1" xfId="0" applyNumberFormat="1" applyFont="1" applyFill="1" applyBorder="1" applyAlignment="1">
      <alignment horizontal="center" vertical="center" wrapText="1"/>
    </xf>
    <xf numFmtId="10" fontId="12" fillId="4" borderId="1" xfId="2" applyNumberFormat="1" applyFont="1" applyFill="1" applyBorder="1" applyAlignment="1">
      <alignment horizontal="center" vertical="center" wrapText="1"/>
    </xf>
    <xf numFmtId="0" fontId="12" fillId="4" borderId="5" xfId="0" applyFont="1" applyFill="1" applyBorder="1" applyAlignment="1">
      <alignment vertical="center" wrapText="1"/>
    </xf>
    <xf numFmtId="172" fontId="12" fillId="4" borderId="1" xfId="0" applyNumberFormat="1" applyFont="1" applyFill="1" applyBorder="1" applyAlignment="1">
      <alignment vertical="center" wrapText="1"/>
    </xf>
    <xf numFmtId="0" fontId="12" fillId="4" borderId="6" xfId="0" applyFont="1" applyFill="1" applyBorder="1" applyAlignment="1">
      <alignment vertical="center" wrapText="1"/>
    </xf>
    <xf numFmtId="172" fontId="12" fillId="4" borderId="6" xfId="0" applyNumberFormat="1" applyFont="1" applyFill="1" applyBorder="1" applyAlignment="1">
      <alignment vertical="center" wrapText="1"/>
    </xf>
    <xf numFmtId="172" fontId="9" fillId="4" borderId="1" xfId="3" applyNumberFormat="1" applyFont="1" applyFill="1" applyBorder="1" applyAlignment="1">
      <alignment vertical="center" wrapText="1"/>
    </xf>
    <xf numFmtId="172" fontId="12" fillId="4" borderId="1" xfId="1" applyNumberFormat="1" applyFont="1" applyFill="1" applyBorder="1" applyAlignment="1">
      <alignment horizontal="center" vertical="center" wrapText="1"/>
    </xf>
    <xf numFmtId="165" fontId="9" fillId="4" borderId="1" xfId="3" applyNumberFormat="1" applyFont="1" applyFill="1" applyBorder="1" applyAlignment="1">
      <alignment vertical="center" wrapText="1"/>
    </xf>
    <xf numFmtId="165" fontId="12" fillId="4" borderId="1" xfId="1" applyNumberFormat="1" applyFont="1" applyFill="1" applyBorder="1" applyAlignment="1">
      <alignment vertical="center"/>
    </xf>
    <xf numFmtId="9" fontId="12" fillId="4" borderId="1" xfId="2" applyFont="1" applyFill="1" applyBorder="1" applyAlignment="1">
      <alignment horizontal="center" vertical="center"/>
    </xf>
    <xf numFmtId="0" fontId="50" fillId="0" borderId="0" xfId="0" applyFont="1" applyAlignment="1">
      <alignment vertical="center"/>
    </xf>
    <xf numFmtId="172" fontId="45" fillId="0" borderId="0" xfId="0" applyNumberFormat="1" applyFont="1" applyAlignment="1">
      <alignment vertical="center"/>
    </xf>
    <xf numFmtId="172" fontId="28" fillId="0" borderId="0" xfId="0" applyNumberFormat="1" applyFont="1"/>
    <xf numFmtId="0" fontId="52" fillId="15" borderId="32" xfId="0" applyFont="1" applyFill="1" applyBorder="1" applyAlignment="1">
      <alignment horizontal="center" vertical="center" wrapText="1"/>
    </xf>
    <xf numFmtId="0" fontId="52" fillId="15" borderId="33" xfId="0" applyFont="1" applyFill="1" applyBorder="1" applyAlignment="1">
      <alignment horizontal="center" vertical="center"/>
    </xf>
    <xf numFmtId="0" fontId="53" fillId="0" borderId="32" xfId="0" applyFont="1" applyBorder="1" applyAlignment="1">
      <alignment vertical="center"/>
    </xf>
    <xf numFmtId="0" fontId="9" fillId="0" borderId="33" xfId="0" applyFont="1" applyBorder="1" applyAlignment="1">
      <alignment horizontal="center" vertical="center"/>
    </xf>
    <xf numFmtId="168" fontId="9" fillId="0" borderId="33" xfId="0" applyNumberFormat="1" applyFont="1" applyBorder="1" applyAlignment="1">
      <alignment horizontal="center" vertical="center"/>
    </xf>
    <xf numFmtId="168" fontId="12" fillId="15" borderId="33" xfId="0" applyNumberFormat="1" applyFont="1" applyFill="1" applyBorder="1" applyAlignment="1">
      <alignment horizontal="center" vertical="center"/>
    </xf>
    <xf numFmtId="0" fontId="54" fillId="0" borderId="0" xfId="0" applyFont="1" applyAlignment="1">
      <alignment vertical="center"/>
    </xf>
    <xf numFmtId="0" fontId="17" fillId="14" borderId="5" xfId="0" applyFont="1" applyFill="1" applyBorder="1" applyAlignment="1">
      <alignment horizontal="center" vertical="center" wrapText="1"/>
    </xf>
    <xf numFmtId="165" fontId="17" fillId="14" borderId="1" xfId="1" applyNumberFormat="1" applyFont="1" applyFill="1" applyBorder="1" applyAlignment="1">
      <alignment horizontal="center" vertical="center" wrapText="1"/>
    </xf>
    <xf numFmtId="0" fontId="17" fillId="14" borderId="28" xfId="0" applyFont="1" applyFill="1" applyBorder="1" applyAlignment="1">
      <alignment horizontal="center" vertical="center" wrapText="1"/>
    </xf>
    <xf numFmtId="0" fontId="17" fillId="14" borderId="1" xfId="0" applyFont="1" applyFill="1" applyBorder="1" applyAlignment="1">
      <alignment horizontal="center" vertical="center" wrapText="1"/>
    </xf>
    <xf numFmtId="43" fontId="17" fillId="14" borderId="28" xfId="1" applyFont="1" applyFill="1" applyBorder="1" applyAlignment="1">
      <alignment horizontal="center" vertical="center" wrapText="1"/>
    </xf>
    <xf numFmtId="165" fontId="17" fillId="14" borderId="1" xfId="0" applyNumberFormat="1" applyFont="1" applyFill="1" applyBorder="1" applyAlignment="1">
      <alignment horizontal="center" vertical="center" wrapText="1"/>
    </xf>
    <xf numFmtId="43" fontId="17" fillId="14" borderId="1" xfId="1" applyFont="1" applyFill="1" applyBorder="1" applyAlignment="1">
      <alignment horizontal="center" vertical="center" wrapText="1"/>
    </xf>
    <xf numFmtId="10" fontId="17" fillId="14" borderId="1" xfId="2" applyNumberFormat="1" applyFont="1" applyFill="1" applyBorder="1" applyAlignment="1">
      <alignment horizontal="center" vertical="center" wrapText="1"/>
    </xf>
    <xf numFmtId="172" fontId="12" fillId="8" borderId="6" xfId="0" applyNumberFormat="1" applyFont="1" applyFill="1" applyBorder="1" applyAlignment="1">
      <alignment vertical="center" wrapText="1"/>
    </xf>
    <xf numFmtId="0" fontId="49" fillId="8" borderId="1" xfId="0" applyFont="1" applyFill="1" applyBorder="1" applyAlignment="1">
      <alignment horizontal="center" vertical="center" wrapText="1"/>
    </xf>
    <xf numFmtId="0" fontId="55" fillId="9" borderId="1" xfId="0" applyFont="1" applyFill="1" applyBorder="1" applyAlignment="1">
      <alignment horizontal="left" vertical="center" wrapText="1"/>
    </xf>
    <xf numFmtId="172" fontId="12" fillId="9" borderId="1" xfId="1" applyNumberFormat="1" applyFont="1" applyFill="1" applyBorder="1" applyAlignment="1">
      <alignment horizontal="center" vertical="center" wrapText="1"/>
    </xf>
    <xf numFmtId="10" fontId="12" fillId="8" borderId="28" xfId="2" applyNumberFormat="1" applyFont="1" applyFill="1" applyBorder="1" applyAlignment="1">
      <alignment horizontal="center" vertical="center" wrapText="1"/>
    </xf>
    <xf numFmtId="0" fontId="49" fillId="9" borderId="5" xfId="0" applyFont="1" applyFill="1" applyBorder="1" applyAlignment="1">
      <alignment horizontal="left" vertical="center" wrapText="1"/>
    </xf>
    <xf numFmtId="0" fontId="56" fillId="8" borderId="1" xfId="0" applyFont="1" applyFill="1" applyBorder="1" applyAlignment="1">
      <alignment horizontal="center" vertical="center" wrapText="1"/>
    </xf>
    <xf numFmtId="172" fontId="12" fillId="8" borderId="1" xfId="0" applyNumberFormat="1" applyFont="1" applyFill="1" applyBorder="1" applyAlignment="1">
      <alignment vertical="center" wrapText="1"/>
    </xf>
    <xf numFmtId="0" fontId="57" fillId="9" borderId="1" xfId="0" applyFont="1" applyFill="1" applyBorder="1" applyAlignment="1">
      <alignment horizontal="left" vertical="center" wrapText="1"/>
    </xf>
    <xf numFmtId="9" fontId="17" fillId="7" borderId="1" xfId="2" applyFont="1" applyFill="1" applyBorder="1" applyAlignment="1">
      <alignment horizontal="center" vertical="center"/>
    </xf>
    <xf numFmtId="0" fontId="58" fillId="0" borderId="0" xfId="0" applyFont="1"/>
    <xf numFmtId="0" fontId="59" fillId="0" borderId="0" xfId="0" applyFont="1"/>
    <xf numFmtId="0" fontId="58" fillId="0" borderId="0" xfId="0" applyFont="1" applyAlignment="1">
      <alignment horizontal="center" vertical="center"/>
    </xf>
    <xf numFmtId="0" fontId="60" fillId="4" borderId="1" xfId="0" applyFont="1" applyFill="1" applyBorder="1" applyAlignment="1">
      <alignment vertical="center" wrapText="1"/>
    </xf>
    <xf numFmtId="0" fontId="63" fillId="4" borderId="0" xfId="0" applyFont="1" applyFill="1"/>
    <xf numFmtId="0" fontId="63" fillId="4" borderId="3" xfId="0" applyFont="1" applyFill="1" applyBorder="1"/>
    <xf numFmtId="0" fontId="62" fillId="4" borderId="1" xfId="0" applyFont="1" applyFill="1" applyBorder="1" applyAlignment="1">
      <alignment horizontal="center" vertical="center" wrapText="1"/>
    </xf>
    <xf numFmtId="0" fontId="63" fillId="4" borderId="1" xfId="0" applyFont="1" applyFill="1" applyBorder="1" applyAlignment="1">
      <alignment horizontal="center" vertical="center" wrapText="1"/>
    </xf>
    <xf numFmtId="0" fontId="63" fillId="4" borderId="1" xfId="0" applyFont="1" applyFill="1" applyBorder="1" applyAlignment="1">
      <alignment horizontal="left" vertical="center" wrapText="1"/>
    </xf>
    <xf numFmtId="0" fontId="62" fillId="4" borderId="5" xfId="0" applyFont="1" applyFill="1" applyBorder="1" applyAlignment="1">
      <alignment vertical="center" wrapText="1"/>
    </xf>
    <xf numFmtId="0" fontId="62" fillId="4" borderId="6" xfId="0" applyFont="1" applyFill="1" applyBorder="1" applyAlignment="1">
      <alignment vertical="center" wrapText="1"/>
    </xf>
    <xf numFmtId="0" fontId="62" fillId="4" borderId="0" xfId="0" applyFont="1" applyFill="1" applyAlignment="1">
      <alignment horizontal="right" vertical="center" wrapText="1"/>
    </xf>
    <xf numFmtId="164" fontId="62" fillId="4" borderId="1" xfId="0" applyNumberFormat="1" applyFont="1" applyFill="1" applyBorder="1" applyAlignment="1">
      <alignment horizontal="center" vertical="center"/>
    </xf>
    <xf numFmtId="0" fontId="63" fillId="4" borderId="1" xfId="0" applyFont="1" applyFill="1" applyBorder="1" applyAlignment="1">
      <alignment horizontal="center" vertical="center"/>
    </xf>
    <xf numFmtId="2" fontId="62" fillId="4" borderId="1" xfId="0" applyNumberFormat="1" applyFont="1" applyFill="1" applyBorder="1" applyAlignment="1">
      <alignment horizontal="center" vertical="center"/>
    </xf>
    <xf numFmtId="0" fontId="62" fillId="4" borderId="5" xfId="0" applyFont="1" applyFill="1" applyBorder="1" applyAlignment="1">
      <alignment vertical="center"/>
    </xf>
    <xf numFmtId="0" fontId="64" fillId="0" borderId="0" xfId="0" applyFont="1"/>
    <xf numFmtId="0" fontId="59" fillId="4" borderId="12" xfId="0" applyFont="1" applyFill="1" applyBorder="1"/>
    <xf numFmtId="0" fontId="62" fillId="4" borderId="7" xfId="0" applyFont="1" applyFill="1" applyBorder="1" applyAlignment="1">
      <alignment vertical="center" wrapText="1"/>
    </xf>
    <xf numFmtId="164" fontId="62" fillId="4" borderId="14" xfId="0" applyNumberFormat="1" applyFont="1" applyFill="1" applyBorder="1" applyAlignment="1">
      <alignment horizontal="center" vertical="center"/>
    </xf>
    <xf numFmtId="0" fontId="62" fillId="4" borderId="4" xfId="0" applyFont="1" applyFill="1" applyBorder="1" applyAlignment="1">
      <alignment horizontal="center" vertical="center"/>
    </xf>
    <xf numFmtId="9" fontId="62" fillId="4" borderId="1" xfId="2" applyFont="1" applyFill="1" applyBorder="1" applyAlignment="1">
      <alignment horizontal="center" vertical="center"/>
    </xf>
    <xf numFmtId="177" fontId="63" fillId="4" borderId="1" xfId="0" applyNumberFormat="1" applyFont="1" applyFill="1" applyBorder="1" applyAlignment="1">
      <alignment horizontal="center" vertical="center"/>
    </xf>
    <xf numFmtId="178" fontId="63" fillId="4" borderId="1" xfId="2" applyNumberFormat="1" applyFont="1" applyFill="1" applyBorder="1" applyAlignment="1">
      <alignment horizontal="center" vertical="center"/>
    </xf>
    <xf numFmtId="174" fontId="63" fillId="4" borderId="1" xfId="1" applyNumberFormat="1" applyFont="1" applyFill="1" applyBorder="1" applyAlignment="1">
      <alignment horizontal="center" vertical="center"/>
    </xf>
    <xf numFmtId="178" fontId="62" fillId="4" borderId="1" xfId="2" applyNumberFormat="1" applyFont="1" applyFill="1" applyBorder="1" applyAlignment="1">
      <alignment horizontal="center" vertical="center"/>
    </xf>
    <xf numFmtId="0" fontId="62" fillId="4" borderId="1" xfId="0" applyFont="1" applyFill="1" applyBorder="1" applyAlignment="1">
      <alignment horizontal="center" vertical="center"/>
    </xf>
    <xf numFmtId="0" fontId="62" fillId="4" borderId="0" xfId="0" applyFont="1" applyFill="1" applyAlignment="1">
      <alignment horizontal="center" vertical="center"/>
    </xf>
    <xf numFmtId="0" fontId="64" fillId="0" borderId="0" xfId="0" applyFont="1" applyAlignment="1">
      <alignment horizontal="center" vertical="center"/>
    </xf>
    <xf numFmtId="0" fontId="65" fillId="0" borderId="0" xfId="0" applyFont="1"/>
    <xf numFmtId="0" fontId="66" fillId="0" borderId="0" xfId="0" applyFont="1"/>
    <xf numFmtId="0" fontId="65" fillId="0" borderId="0" xfId="0" applyFont="1" applyAlignment="1">
      <alignment horizontal="center" vertical="center"/>
    </xf>
    <xf numFmtId="0" fontId="67" fillId="13" borderId="34" xfId="0" applyFont="1" applyFill="1" applyBorder="1" applyAlignment="1">
      <alignment vertical="center" wrapText="1"/>
    </xf>
    <xf numFmtId="0" fontId="58" fillId="0" borderId="3" xfId="0" applyFont="1" applyBorder="1"/>
    <xf numFmtId="0" fontId="70" fillId="14" borderId="1" xfId="0" applyFont="1" applyFill="1" applyBorder="1" applyAlignment="1">
      <alignment horizontal="center" vertical="center" wrapText="1"/>
    </xf>
    <xf numFmtId="0" fontId="58" fillId="9" borderId="1" xfId="0" applyFont="1" applyFill="1" applyBorder="1" applyAlignment="1">
      <alignment horizontal="center" vertical="center" wrapText="1"/>
    </xf>
    <xf numFmtId="0" fontId="71" fillId="14" borderId="41" xfId="0" applyFont="1" applyFill="1" applyBorder="1" applyAlignment="1">
      <alignment horizontal="center" vertical="center" wrapText="1"/>
    </xf>
    <xf numFmtId="0" fontId="71" fillId="14" borderId="1" xfId="0" applyFont="1" applyFill="1" applyBorder="1" applyAlignment="1">
      <alignment horizontal="center" vertical="center" wrapText="1"/>
    </xf>
    <xf numFmtId="0" fontId="72" fillId="16" borderId="41" xfId="0" applyFont="1" applyFill="1" applyBorder="1" applyAlignment="1">
      <alignment horizontal="center" vertical="center" wrapText="1"/>
    </xf>
    <xf numFmtId="0" fontId="62" fillId="16" borderId="5" xfId="0" applyFont="1" applyFill="1" applyBorder="1" applyAlignment="1">
      <alignment vertical="center" wrapText="1"/>
    </xf>
    <xf numFmtId="0" fontId="62" fillId="16" borderId="6" xfId="0" applyFont="1" applyFill="1" applyBorder="1" applyAlignment="1">
      <alignment vertical="center" wrapText="1"/>
    </xf>
    <xf numFmtId="164" fontId="73" fillId="8" borderId="1" xfId="0" applyNumberFormat="1" applyFont="1" applyFill="1" applyBorder="1" applyAlignment="1">
      <alignment horizontal="center" vertical="center"/>
    </xf>
    <xf numFmtId="0" fontId="57" fillId="9" borderId="41" xfId="0" applyFont="1" applyFill="1" applyBorder="1" applyAlignment="1">
      <alignment horizontal="center" vertical="center" wrapText="1"/>
    </xf>
    <xf numFmtId="0" fontId="63" fillId="9" borderId="1" xfId="0" applyFont="1" applyFill="1" applyBorder="1" applyAlignment="1">
      <alignment horizontal="center" vertical="center" wrapText="1"/>
    </xf>
    <xf numFmtId="0" fontId="64" fillId="9" borderId="1" xfId="0" applyFont="1" applyFill="1" applyBorder="1" applyAlignment="1">
      <alignment horizontal="center" vertical="center" wrapText="1"/>
    </xf>
    <xf numFmtId="0" fontId="64" fillId="9" borderId="1" xfId="0" applyFont="1" applyFill="1" applyBorder="1" applyAlignment="1">
      <alignment horizontal="center" vertical="center"/>
    </xf>
    <xf numFmtId="2" fontId="73" fillId="9" borderId="1" xfId="0" applyNumberFormat="1" applyFont="1" applyFill="1" applyBorder="1" applyAlignment="1">
      <alignment horizontal="center" vertical="center"/>
    </xf>
    <xf numFmtId="164" fontId="73" fillId="9" borderId="1" xfId="0" applyNumberFormat="1" applyFont="1" applyFill="1" applyBorder="1" applyAlignment="1">
      <alignment horizontal="center" vertical="center"/>
    </xf>
    <xf numFmtId="0" fontId="62" fillId="16" borderId="5" xfId="0" applyFont="1" applyFill="1" applyBorder="1" applyAlignment="1">
      <alignment vertical="center"/>
    </xf>
    <xf numFmtId="164" fontId="73" fillId="2" borderId="1" xfId="0" applyNumberFormat="1" applyFont="1" applyFill="1" applyBorder="1" applyAlignment="1">
      <alignment horizontal="center" vertical="center"/>
    </xf>
    <xf numFmtId="2" fontId="73" fillId="8" borderId="1" xfId="0" applyNumberFormat="1" applyFont="1" applyFill="1" applyBorder="1" applyAlignment="1">
      <alignment horizontal="center" vertical="center"/>
    </xf>
    <xf numFmtId="0" fontId="71" fillId="7" borderId="14" xfId="0" applyFont="1" applyFill="1" applyBorder="1" applyAlignment="1">
      <alignment horizontal="center" vertical="center" wrapText="1"/>
    </xf>
    <xf numFmtId="0" fontId="63" fillId="9" borderId="1" xfId="0" applyFont="1" applyFill="1" applyBorder="1" applyAlignment="1">
      <alignment horizontal="center" vertical="center"/>
    </xf>
    <xf numFmtId="0" fontId="65" fillId="0" borderId="47" xfId="0" applyFont="1" applyBorder="1"/>
    <xf numFmtId="0" fontId="71" fillId="14" borderId="49" xfId="0" applyFont="1" applyFill="1" applyBorder="1" applyAlignment="1">
      <alignment horizontal="center" vertical="center" wrapText="1"/>
    </xf>
    <xf numFmtId="0" fontId="62" fillId="16" borderId="50" xfId="0" applyFont="1" applyFill="1" applyBorder="1" applyAlignment="1">
      <alignment vertical="center" wrapText="1"/>
    </xf>
    <xf numFmtId="164" fontId="68" fillId="14" borderId="51" xfId="0" applyNumberFormat="1" applyFont="1" applyFill="1" applyBorder="1" applyAlignment="1">
      <alignment horizontal="center" vertical="center"/>
    </xf>
    <xf numFmtId="0" fontId="68" fillId="14" borderId="53" xfId="0" applyFont="1" applyFill="1" applyBorder="1" applyAlignment="1">
      <alignment horizontal="center" vertical="center"/>
    </xf>
    <xf numFmtId="9" fontId="73" fillId="8" borderId="1" xfId="2" applyFont="1" applyFill="1" applyBorder="1" applyAlignment="1">
      <alignment horizontal="center" vertical="center"/>
    </xf>
    <xf numFmtId="177" fontId="64" fillId="8" borderId="1" xfId="0" applyNumberFormat="1" applyFont="1" applyFill="1" applyBorder="1" applyAlignment="1">
      <alignment horizontal="center" vertical="center"/>
    </xf>
    <xf numFmtId="177" fontId="64" fillId="8" borderId="49" xfId="0" applyNumberFormat="1" applyFont="1" applyFill="1" applyBorder="1" applyAlignment="1">
      <alignment horizontal="center" vertical="center"/>
    </xf>
    <xf numFmtId="178" fontId="64" fillId="9" borderId="1" xfId="2" applyNumberFormat="1" applyFont="1" applyFill="1" applyBorder="1" applyAlignment="1">
      <alignment horizontal="center" vertical="center"/>
    </xf>
    <xf numFmtId="177" fontId="64" fillId="9" borderId="1" xfId="0" applyNumberFormat="1" applyFont="1" applyFill="1" applyBorder="1" applyAlignment="1">
      <alignment horizontal="center" vertical="center"/>
    </xf>
    <xf numFmtId="174" fontId="64" fillId="9" borderId="49" xfId="1" applyNumberFormat="1" applyFont="1" applyFill="1" applyBorder="1" applyAlignment="1">
      <alignment horizontal="center" vertical="center"/>
    </xf>
    <xf numFmtId="178" fontId="73" fillId="8" borderId="1" xfId="2" applyNumberFormat="1" applyFont="1" applyFill="1" applyBorder="1" applyAlignment="1">
      <alignment horizontal="center" vertical="center"/>
    </xf>
    <xf numFmtId="0" fontId="51" fillId="0" borderId="0" xfId="0" applyFont="1"/>
    <xf numFmtId="0" fontId="66" fillId="0" borderId="0" xfId="0" applyFont="1" applyAlignment="1">
      <alignment horizontal="center" vertical="center"/>
    </xf>
    <xf numFmtId="43" fontId="66" fillId="0" borderId="0" xfId="1" applyFont="1" applyAlignment="1">
      <alignment horizontal="center" vertical="center"/>
    </xf>
    <xf numFmtId="0" fontId="61" fillId="14" borderId="1" xfId="0" applyFont="1" applyFill="1" applyBorder="1" applyAlignment="1">
      <alignment horizontal="center" vertical="center" wrapText="1"/>
    </xf>
    <xf numFmtId="0" fontId="75" fillId="0" borderId="1" xfId="0" applyFont="1" applyBorder="1"/>
    <xf numFmtId="0" fontId="75" fillId="9" borderId="1" xfId="0" applyFont="1" applyFill="1" applyBorder="1" applyAlignment="1">
      <alignment horizontal="center" vertical="center" wrapText="1"/>
    </xf>
    <xf numFmtId="43" fontId="62" fillId="4" borderId="1" xfId="1" applyFont="1" applyFill="1" applyBorder="1" applyAlignment="1">
      <alignment horizontal="center" vertical="center" wrapText="1"/>
    </xf>
    <xf numFmtId="0" fontId="62" fillId="4" borderId="1" xfId="0" applyFont="1" applyFill="1" applyBorder="1" applyAlignment="1">
      <alignment vertical="center" wrapText="1"/>
    </xf>
    <xf numFmtId="43" fontId="62" fillId="4" borderId="1" xfId="1" applyFont="1" applyFill="1" applyBorder="1" applyAlignment="1">
      <alignment vertical="center" wrapText="1"/>
    </xf>
    <xf numFmtId="43" fontId="62" fillId="4" borderId="1" xfId="1" applyFont="1" applyFill="1" applyBorder="1" applyAlignment="1">
      <alignment horizontal="center" vertical="center"/>
    </xf>
    <xf numFmtId="0" fontId="62" fillId="4" borderId="1" xfId="0" applyFont="1" applyFill="1" applyBorder="1" applyAlignment="1">
      <alignment vertical="center"/>
    </xf>
    <xf numFmtId="165" fontId="62" fillId="4" borderId="1" xfId="1" applyNumberFormat="1" applyFont="1" applyFill="1" applyBorder="1" applyAlignment="1">
      <alignment horizontal="center" vertical="center"/>
    </xf>
    <xf numFmtId="0" fontId="63" fillId="0" borderId="0" xfId="0" applyFont="1"/>
    <xf numFmtId="0" fontId="63" fillId="0" borderId="0" xfId="0" applyFont="1" applyAlignment="1">
      <alignment horizontal="center" vertical="center"/>
    </xf>
    <xf numFmtId="43" fontId="63" fillId="0" borderId="0" xfId="1" applyFont="1" applyAlignment="1">
      <alignment horizontal="center" vertical="center"/>
    </xf>
    <xf numFmtId="0" fontId="76" fillId="0" borderId="0" xfId="0" applyFont="1" applyAlignment="1">
      <alignment vertical="center"/>
    </xf>
    <xf numFmtId="0" fontId="66" fillId="0" borderId="1" xfId="0" applyFont="1" applyBorder="1"/>
    <xf numFmtId="0" fontId="62" fillId="2" borderId="1" xfId="0" applyFont="1" applyFill="1" applyBorder="1" applyAlignment="1">
      <alignment horizontal="center" vertical="center" wrapText="1"/>
    </xf>
    <xf numFmtId="0" fontId="66" fillId="2" borderId="0" xfId="0" applyFont="1" applyFill="1" applyAlignment="1">
      <alignment wrapText="1"/>
    </xf>
    <xf numFmtId="43" fontId="65" fillId="0" borderId="0" xfId="1" applyFont="1" applyAlignment="1">
      <alignment horizontal="center" vertical="center"/>
    </xf>
    <xf numFmtId="0" fontId="68" fillId="14" borderId="1" xfId="0" applyFont="1" applyFill="1" applyBorder="1" applyAlignment="1">
      <alignment horizontal="center" vertical="center" wrapText="1"/>
    </xf>
    <xf numFmtId="0" fontId="77" fillId="0" borderId="0" xfId="0" applyFont="1"/>
    <xf numFmtId="0" fontId="77" fillId="0" borderId="3" xfId="0" applyFont="1" applyBorder="1"/>
    <xf numFmtId="0" fontId="77" fillId="9" borderId="1" xfId="0" applyFont="1" applyFill="1" applyBorder="1" applyAlignment="1">
      <alignment horizontal="center" vertical="center" wrapText="1"/>
    </xf>
    <xf numFmtId="43" fontId="71" fillId="14" borderId="1" xfId="1" applyFont="1" applyFill="1" applyBorder="1" applyAlignment="1">
      <alignment horizontal="center" vertical="center" wrapText="1"/>
    </xf>
    <xf numFmtId="43" fontId="62" fillId="16" borderId="6" xfId="1" applyFont="1" applyFill="1" applyBorder="1" applyAlignment="1">
      <alignment vertical="center" wrapText="1"/>
    </xf>
    <xf numFmtId="43" fontId="73" fillId="9" borderId="1" xfId="1" applyFont="1" applyFill="1" applyBorder="1" applyAlignment="1">
      <alignment horizontal="center" vertical="center"/>
    </xf>
    <xf numFmtId="43" fontId="73" fillId="2" borderId="1" xfId="1" applyFont="1" applyFill="1" applyBorder="1" applyAlignment="1">
      <alignment horizontal="center" vertical="center"/>
    </xf>
    <xf numFmtId="165" fontId="73" fillId="2" borderId="1" xfId="1" applyNumberFormat="1" applyFont="1" applyFill="1" applyBorder="1" applyAlignment="1">
      <alignment horizontal="center" vertical="center"/>
    </xf>
    <xf numFmtId="165" fontId="73" fillId="8" borderId="1" xfId="1" applyNumberFormat="1" applyFont="1" applyFill="1" applyBorder="1" applyAlignment="1">
      <alignment horizontal="center" vertical="center"/>
    </xf>
    <xf numFmtId="0" fontId="20" fillId="0" borderId="0" xfId="0" applyFont="1"/>
    <xf numFmtId="0" fontId="79" fillId="0" borderId="0" xfId="0" applyFont="1" applyAlignment="1">
      <alignment vertical="center"/>
    </xf>
    <xf numFmtId="0" fontId="79" fillId="0" borderId="0" xfId="0" applyFont="1"/>
    <xf numFmtId="0" fontId="19" fillId="0" borderId="0" xfId="0" applyFont="1" applyAlignment="1">
      <alignment wrapText="1"/>
    </xf>
    <xf numFmtId="0" fontId="12" fillId="4" borderId="1" xfId="0" applyFont="1" applyFill="1" applyBorder="1" applyAlignment="1">
      <alignment horizontal="left" vertical="center" wrapText="1"/>
    </xf>
    <xf numFmtId="0" fontId="20" fillId="0" borderId="0" xfId="0" applyFont="1" applyAlignment="1">
      <alignment horizontal="center" vertical="center"/>
    </xf>
    <xf numFmtId="0" fontId="28" fillId="0" borderId="0" xfId="0" applyFont="1" applyAlignment="1">
      <alignment horizontal="center" vertical="center"/>
    </xf>
    <xf numFmtId="0" fontId="28" fillId="0" borderId="0" xfId="0" applyFont="1" applyAlignment="1">
      <alignment horizontal="center" vertical="center" wrapText="1"/>
    </xf>
    <xf numFmtId="0" fontId="81" fillId="14" borderId="21" xfId="0" applyFont="1" applyFill="1" applyBorder="1" applyAlignment="1">
      <alignment horizontal="center" vertical="center" wrapText="1"/>
    </xf>
    <xf numFmtId="0" fontId="81" fillId="14" borderId="1" xfId="0" applyFont="1" applyFill="1" applyBorder="1" applyAlignment="1">
      <alignment horizontal="center" vertical="center" wrapText="1"/>
    </xf>
    <xf numFmtId="9" fontId="21" fillId="8" borderId="1" xfId="0" applyNumberFormat="1" applyFont="1" applyFill="1" applyBorder="1" applyAlignment="1">
      <alignment horizontal="center" vertical="center" wrapText="1"/>
    </xf>
    <xf numFmtId="9" fontId="19" fillId="8" borderId="1" xfId="0" applyNumberFormat="1" applyFont="1" applyFill="1" applyBorder="1" applyAlignment="1">
      <alignment horizontal="center" vertical="center" wrapText="1"/>
    </xf>
    <xf numFmtId="10" fontId="19" fillId="8" borderId="1" xfId="0" applyNumberFormat="1" applyFont="1" applyFill="1" applyBorder="1" applyAlignment="1">
      <alignment horizontal="center" vertical="center" wrapText="1"/>
    </xf>
    <xf numFmtId="0" fontId="19" fillId="17" borderId="1" xfId="0" applyFont="1" applyFill="1" applyBorder="1" applyAlignment="1">
      <alignment horizontal="center" vertical="center" wrapText="1"/>
    </xf>
    <xf numFmtId="0" fontId="82" fillId="7"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18" fillId="8" borderId="1" xfId="0" applyFont="1" applyFill="1" applyBorder="1" applyAlignment="1">
      <alignment horizontal="left" vertical="center" wrapText="1"/>
    </xf>
    <xf numFmtId="0" fontId="19" fillId="9" borderId="1" xfId="0" applyFont="1" applyFill="1" applyBorder="1" applyAlignment="1">
      <alignment horizontal="left" vertical="center" wrapText="1"/>
    </xf>
    <xf numFmtId="0" fontId="12" fillId="16" borderId="1" xfId="0" applyFont="1" applyFill="1" applyBorder="1" applyAlignment="1">
      <alignment horizontal="center" vertical="center" wrapText="1"/>
    </xf>
    <xf numFmtId="0" fontId="12" fillId="16" borderId="1" xfId="0" applyFont="1" applyFill="1" applyBorder="1" applyAlignment="1">
      <alignment horizontal="left" vertical="center" wrapText="1"/>
    </xf>
    <xf numFmtId="0" fontId="19" fillId="17" borderId="1" xfId="0" applyFont="1" applyFill="1" applyBorder="1" applyAlignment="1">
      <alignment vertical="center" wrapText="1"/>
    </xf>
    <xf numFmtId="0" fontId="82" fillId="7" borderId="1" xfId="0" applyFont="1" applyFill="1" applyBorder="1" applyAlignment="1">
      <alignment vertical="center" wrapText="1"/>
    </xf>
    <xf numFmtId="0" fontId="17" fillId="13" borderId="60" xfId="0" applyFont="1" applyFill="1" applyBorder="1" applyAlignment="1">
      <alignment horizontal="center" vertical="center" wrapText="1"/>
    </xf>
    <xf numFmtId="0" fontId="17" fillId="14" borderId="21" xfId="0" applyFont="1" applyFill="1" applyBorder="1" applyAlignment="1">
      <alignment horizontal="center" vertical="center"/>
    </xf>
    <xf numFmtId="0" fontId="17" fillId="14" borderId="1" xfId="0" applyFont="1" applyFill="1" applyBorder="1" applyAlignment="1">
      <alignment horizontal="center" vertical="center"/>
    </xf>
    <xf numFmtId="0" fontId="17" fillId="14" borderId="28" xfId="0" applyFont="1" applyFill="1" applyBorder="1" applyAlignment="1">
      <alignment horizontal="center" vertical="center"/>
    </xf>
    <xf numFmtId="0" fontId="18" fillId="8" borderId="1" xfId="0" applyFont="1" applyFill="1" applyBorder="1" applyAlignment="1">
      <alignment horizontal="center" vertical="center"/>
    </xf>
    <xf numFmtId="0" fontId="79" fillId="8" borderId="0" xfId="0" applyFont="1" applyFill="1" applyAlignment="1">
      <alignment horizontal="center" vertical="center"/>
    </xf>
    <xf numFmtId="0" fontId="12" fillId="16" borderId="1" xfId="0" applyFont="1" applyFill="1" applyBorder="1" applyAlignment="1">
      <alignment vertical="center" wrapText="1"/>
    </xf>
    <xf numFmtId="0" fontId="19" fillId="8" borderId="1" xfId="0" applyFont="1" applyFill="1" applyBorder="1" applyAlignment="1">
      <alignment horizontal="center" vertical="center"/>
    </xf>
    <xf numFmtId="0" fontId="83" fillId="4" borderId="0" xfId="0" applyFont="1" applyFill="1" applyAlignment="1">
      <alignment horizontal="center" vertical="center" wrapText="1"/>
    </xf>
    <xf numFmtId="0" fontId="29" fillId="4" borderId="0" xfId="0" applyFont="1" applyFill="1" applyAlignment="1">
      <alignment horizontal="center" vertical="center"/>
    </xf>
    <xf numFmtId="0" fontId="29" fillId="4" borderId="0" xfId="0" applyFont="1" applyFill="1" applyAlignment="1">
      <alignment horizontal="center" vertical="center" wrapText="1"/>
    </xf>
    <xf numFmtId="0" fontId="0" fillId="4" borderId="0" xfId="0" applyFill="1" applyAlignment="1">
      <alignment horizontal="center" vertical="center"/>
    </xf>
    <xf numFmtId="0" fontId="7" fillId="4" borderId="65" xfId="0" applyFont="1" applyFill="1" applyBorder="1" applyAlignment="1">
      <alignment horizontal="center" vertical="center" wrapText="1"/>
    </xf>
    <xf numFmtId="0" fontId="84" fillId="4" borderId="1" xfId="0" applyFont="1" applyFill="1" applyBorder="1" applyAlignment="1">
      <alignment horizontal="center" vertical="center"/>
    </xf>
    <xf numFmtId="0" fontId="29" fillId="4" borderId="1" xfId="0" applyFont="1" applyFill="1" applyBorder="1" applyAlignment="1">
      <alignment horizontal="center" vertical="center" wrapText="1"/>
    </xf>
    <xf numFmtId="0" fontId="9" fillId="4" borderId="1" xfId="0" applyFont="1" applyFill="1" applyBorder="1" applyAlignment="1">
      <alignment vertical="center" wrapText="1"/>
    </xf>
    <xf numFmtId="0" fontId="29" fillId="4" borderId="1" xfId="0" applyFont="1" applyFill="1" applyBorder="1" applyAlignment="1">
      <alignment horizontal="center" vertical="center"/>
    </xf>
    <xf numFmtId="0" fontId="83" fillId="0" borderId="0" xfId="0" applyFont="1" applyAlignment="1">
      <alignment horizontal="center" vertical="center" wrapText="1"/>
    </xf>
    <xf numFmtId="0" fontId="16" fillId="13" borderId="65" xfId="0" applyFont="1" applyFill="1" applyBorder="1" applyAlignment="1">
      <alignment horizontal="center" vertical="center" wrapText="1"/>
    </xf>
    <xf numFmtId="0" fontId="18" fillId="18" borderId="1" xfId="0" applyFont="1" applyFill="1" applyBorder="1" applyAlignment="1">
      <alignment horizontal="center" vertical="center"/>
    </xf>
    <xf numFmtId="0" fontId="18" fillId="18" borderId="1" xfId="0" applyFont="1" applyFill="1" applyBorder="1" applyAlignment="1">
      <alignment horizontal="center" vertical="center" wrapText="1"/>
    </xf>
    <xf numFmtId="0" fontId="18" fillId="18" borderId="1" xfId="0" applyFont="1" applyFill="1" applyBorder="1" applyAlignment="1">
      <alignment horizontal="left" vertical="center" wrapText="1"/>
    </xf>
    <xf numFmtId="0" fontId="9" fillId="8" borderId="1" xfId="0" applyFont="1" applyFill="1" applyBorder="1" applyAlignment="1">
      <alignment horizontal="center" vertical="center"/>
    </xf>
    <xf numFmtId="0" fontId="12" fillId="8" borderId="1" xfId="0" applyFont="1" applyFill="1" applyBorder="1" applyAlignment="1">
      <alignment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85" fillId="0" borderId="1" xfId="0" applyFont="1" applyBorder="1" applyAlignment="1">
      <alignment horizontal="center" vertical="center"/>
    </xf>
    <xf numFmtId="0" fontId="19" fillId="19" borderId="1" xfId="0" applyFont="1" applyFill="1" applyBorder="1" applyAlignment="1">
      <alignment horizontal="center" vertical="center" wrapText="1"/>
    </xf>
    <xf numFmtId="0" fontId="19" fillId="19" borderId="1" xfId="0" applyFont="1" applyFill="1" applyBorder="1" applyAlignment="1">
      <alignment horizontal="left" vertical="center" wrapText="1"/>
    </xf>
    <xf numFmtId="0" fontId="85" fillId="19" borderId="1" xfId="0" applyFont="1" applyFill="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left" vertical="center" wrapText="1"/>
    </xf>
    <xf numFmtId="0" fontId="19" fillId="10" borderId="1" xfId="0" applyFont="1" applyFill="1" applyBorder="1" applyAlignment="1">
      <alignment horizontal="center" vertical="center"/>
    </xf>
    <xf numFmtId="0" fontId="18" fillId="10" borderId="1" xfId="0" applyFont="1" applyFill="1" applyBorder="1" applyAlignment="1">
      <alignment horizontal="center" vertical="center" wrapText="1"/>
    </xf>
    <xf numFmtId="0" fontId="18" fillId="10" borderId="1" xfId="0" applyFont="1" applyFill="1" applyBorder="1" applyAlignment="1">
      <alignment horizontal="left" vertical="center" wrapText="1"/>
    </xf>
    <xf numFmtId="0" fontId="85" fillId="10" borderId="1" xfId="0" applyFont="1" applyFill="1" applyBorder="1" applyAlignment="1">
      <alignment horizontal="center" vertical="center"/>
    </xf>
    <xf numFmtId="0" fontId="12" fillId="16" borderId="4" xfId="0" applyFont="1" applyFill="1" applyBorder="1" applyAlignment="1">
      <alignment vertical="center" wrapText="1"/>
    </xf>
    <xf numFmtId="0" fontId="0" fillId="0" borderId="1" xfId="0" applyBorder="1" applyAlignment="1">
      <alignment horizontal="center" vertical="center" wrapText="1"/>
    </xf>
    <xf numFmtId="0" fontId="19" fillId="0" borderId="5" xfId="0" applyFont="1" applyBorder="1" applyAlignment="1">
      <alignment horizontal="left" vertical="center" wrapText="1"/>
    </xf>
    <xf numFmtId="0" fontId="12" fillId="16" borderId="14" xfId="0" applyFont="1" applyFill="1" applyBorder="1" applyAlignment="1">
      <alignment vertical="center" wrapText="1"/>
    </xf>
    <xf numFmtId="0" fontId="9" fillId="0" borderId="1" xfId="0" applyFont="1" applyBorder="1" applyAlignment="1">
      <alignment vertical="center" wrapText="1"/>
    </xf>
    <xf numFmtId="0" fontId="86" fillId="0" borderId="1" xfId="0" applyFont="1" applyBorder="1" applyAlignment="1">
      <alignment horizontal="center" vertical="center"/>
    </xf>
    <xf numFmtId="0" fontId="47" fillId="0" borderId="1" xfId="0" quotePrefix="1" applyFont="1" applyBorder="1" applyAlignment="1">
      <alignment horizontal="center" vertical="center" wrapText="1"/>
    </xf>
    <xf numFmtId="0" fontId="9" fillId="4" borderId="1" xfId="0" quotePrefix="1" applyFont="1" applyFill="1" applyBorder="1" applyAlignment="1">
      <alignment horizontal="center" vertical="center" wrapText="1"/>
    </xf>
    <xf numFmtId="0" fontId="38" fillId="4" borderId="1" xfId="0" quotePrefix="1" applyFont="1" applyFill="1" applyBorder="1" applyAlignment="1">
      <alignment horizontal="center" vertical="center" wrapText="1"/>
    </xf>
    <xf numFmtId="0" fontId="72" fillId="16" borderId="41" xfId="0" quotePrefix="1" applyFont="1" applyFill="1" applyBorder="1" applyAlignment="1">
      <alignment horizontal="center" vertical="center" wrapText="1"/>
    </xf>
    <xf numFmtId="0" fontId="57" fillId="9" borderId="41" xfId="0" quotePrefix="1" applyFont="1" applyFill="1" applyBorder="1" applyAlignment="1">
      <alignment horizontal="center" vertical="center" wrapText="1"/>
    </xf>
    <xf numFmtId="0" fontId="62" fillId="4" borderId="1" xfId="0" quotePrefix="1" applyFont="1" applyFill="1" applyBorder="1" applyAlignment="1">
      <alignment horizontal="center" vertical="center" wrapText="1"/>
    </xf>
    <xf numFmtId="0" fontId="63" fillId="4" borderId="1" xfId="0" quotePrefix="1" applyFont="1" applyFill="1" applyBorder="1" applyAlignment="1">
      <alignment horizontal="center" vertical="center" wrapText="1"/>
    </xf>
    <xf numFmtId="0" fontId="49" fillId="8" borderId="1" xfId="0" quotePrefix="1" applyFont="1" applyFill="1" applyBorder="1" applyAlignment="1">
      <alignment horizontal="center" vertical="center" wrapText="1"/>
    </xf>
    <xf numFmtId="0" fontId="56" fillId="8" borderId="1" xfId="0" quotePrefix="1" applyFont="1" applyFill="1" applyBorder="1" applyAlignment="1">
      <alignment horizontal="center" vertical="center" wrapText="1"/>
    </xf>
    <xf numFmtId="0" fontId="12" fillId="4" borderId="1" xfId="0" quotePrefix="1" applyFont="1" applyFill="1" applyBorder="1" applyAlignment="1">
      <alignment horizontal="center" vertical="center" wrapText="1"/>
    </xf>
    <xf numFmtId="0" fontId="9" fillId="4" borderId="1" xfId="0" quotePrefix="1" applyFont="1" applyFill="1" applyBorder="1" applyAlignment="1">
      <alignment horizontal="center" vertical="center"/>
    </xf>
    <xf numFmtId="0" fontId="9" fillId="4" borderId="4" xfId="0" quotePrefix="1" applyFont="1" applyFill="1" applyBorder="1" applyAlignment="1">
      <alignment horizontal="center" vertical="center" wrapText="1"/>
    </xf>
    <xf numFmtId="16" fontId="32" fillId="0" borderId="7" xfId="0" quotePrefix="1" applyNumberFormat="1" applyFont="1" applyBorder="1" applyAlignment="1">
      <alignment horizontal="center" vertical="center"/>
    </xf>
    <xf numFmtId="0" fontId="32" fillId="0" borderId="1" xfId="0" quotePrefix="1" applyFont="1" applyBorder="1" applyAlignment="1">
      <alignment horizontal="center" vertical="center"/>
    </xf>
    <xf numFmtId="0" fontId="34" fillId="0" borderId="1" xfId="0" quotePrefix="1" applyFont="1" applyBorder="1" applyAlignment="1">
      <alignment horizontal="center" vertical="center"/>
    </xf>
    <xf numFmtId="16" fontId="34" fillId="0" borderId="1" xfId="0" quotePrefix="1" applyNumberFormat="1" applyFont="1" applyBorder="1" applyAlignment="1">
      <alignment horizontal="center" vertical="center"/>
    </xf>
    <xf numFmtId="0" fontId="34" fillId="0" borderId="7" xfId="0" quotePrefix="1" applyFont="1" applyBorder="1" applyAlignment="1">
      <alignment horizontal="center" vertical="center"/>
    </xf>
    <xf numFmtId="0" fontId="36" fillId="0" borderId="1" xfId="0" quotePrefix="1" applyFont="1" applyBorder="1" applyAlignment="1">
      <alignment horizontal="center" vertical="center"/>
    </xf>
    <xf numFmtId="0" fontId="32" fillId="0" borderId="7" xfId="0" quotePrefix="1" applyFont="1" applyBorder="1" applyAlignment="1">
      <alignment horizontal="center" vertical="center"/>
    </xf>
    <xf numFmtId="0" fontId="9" fillId="4" borderId="1" xfId="11" quotePrefix="1" applyFont="1" applyFill="1" applyBorder="1" applyAlignment="1">
      <alignment horizontal="center" vertical="center" wrapText="1"/>
    </xf>
    <xf numFmtId="170" fontId="9" fillId="4" borderId="1" xfId="0" quotePrefix="1" applyNumberFormat="1" applyFont="1" applyFill="1" applyBorder="1" applyAlignment="1" applyProtection="1">
      <alignment horizontal="center" vertical="center" wrapText="1"/>
      <protection locked="0"/>
    </xf>
    <xf numFmtId="0" fontId="9" fillId="4" borderId="1" xfId="0" quotePrefix="1" applyFont="1" applyFill="1" applyBorder="1" applyAlignment="1">
      <alignment vertical="center"/>
    </xf>
    <xf numFmtId="0" fontId="9" fillId="4" borderId="1" xfId="11" quotePrefix="1" applyFont="1" applyFill="1" applyBorder="1" applyAlignment="1">
      <alignment vertical="center" wrapText="1"/>
    </xf>
    <xf numFmtId="0" fontId="9" fillId="4" borderId="7" xfId="0" quotePrefix="1" applyFont="1" applyFill="1" applyBorder="1" applyAlignment="1">
      <alignment horizontal="center" vertical="center" wrapText="1"/>
    </xf>
    <xf numFmtId="0" fontId="9" fillId="4" borderId="0" xfId="0" quotePrefix="1" applyFont="1" applyFill="1" applyAlignment="1">
      <alignment horizontal="center" vertical="center"/>
    </xf>
    <xf numFmtId="0" fontId="18" fillId="8" borderId="10" xfId="0" quotePrefix="1" applyFont="1" applyFill="1" applyBorder="1" applyAlignment="1">
      <alignment horizontal="center" vertical="center" wrapText="1"/>
    </xf>
    <xf numFmtId="164" fontId="99" fillId="4" borderId="1" xfId="0" applyNumberFormat="1" applyFont="1" applyFill="1" applyBorder="1" applyAlignment="1">
      <alignment horizontal="center" vertical="center"/>
    </xf>
    <xf numFmtId="0" fontId="62" fillId="4" borderId="1" xfId="0" applyFont="1" applyFill="1" applyBorder="1" applyAlignment="1">
      <alignment horizontal="left" vertical="center" wrapText="1"/>
    </xf>
    <xf numFmtId="0" fontId="45" fillId="4" borderId="0" xfId="0" applyFont="1" applyFill="1" applyAlignment="1">
      <alignment vertical="center"/>
    </xf>
    <xf numFmtId="0" fontId="44" fillId="4" borderId="0" xfId="0" applyFont="1" applyFill="1"/>
    <xf numFmtId="0" fontId="28" fillId="4" borderId="0" xfId="0" applyFont="1" applyFill="1"/>
    <xf numFmtId="0" fontId="47" fillId="4" borderId="1" xfId="0" applyFont="1" applyFill="1" applyBorder="1" applyAlignment="1">
      <alignment horizontal="center" vertical="center" wrapText="1"/>
    </xf>
    <xf numFmtId="0" fontId="47" fillId="4" borderId="5" xfId="0" applyFont="1" applyFill="1" applyBorder="1" applyAlignment="1">
      <alignment horizontal="left" vertical="center" wrapText="1"/>
    </xf>
    <xf numFmtId="0" fontId="48" fillId="4" borderId="1" xfId="0" quotePrefix="1" applyFont="1" applyFill="1" applyBorder="1" applyAlignment="1">
      <alignment horizontal="center" vertical="center" wrapText="1"/>
    </xf>
    <xf numFmtId="0" fontId="49" fillId="4" borderId="1" xfId="0" applyFont="1" applyFill="1" applyBorder="1" applyAlignment="1">
      <alignment horizontal="left" vertical="center" wrapText="1"/>
    </xf>
    <xf numFmtId="0" fontId="47" fillId="4" borderId="1" xfId="0" applyFont="1" applyFill="1" applyBorder="1" applyAlignment="1">
      <alignment horizontal="left" vertical="center" wrapText="1"/>
    </xf>
    <xf numFmtId="0" fontId="48" fillId="4" borderId="1" xfId="0" applyFont="1" applyFill="1" applyBorder="1" applyAlignment="1">
      <alignment horizontal="center" vertical="center" wrapText="1"/>
    </xf>
    <xf numFmtId="0" fontId="48" fillId="4" borderId="1" xfId="0" applyFont="1" applyFill="1" applyBorder="1" applyAlignment="1">
      <alignment horizontal="left" vertical="center" wrapText="1"/>
    </xf>
    <xf numFmtId="0" fontId="47" fillId="4" borderId="1" xfId="0" quotePrefix="1" applyFont="1" applyFill="1" applyBorder="1" applyAlignment="1">
      <alignment horizontal="center" vertical="center" wrapText="1"/>
    </xf>
    <xf numFmtId="165" fontId="44" fillId="4" borderId="0" xfId="1" applyNumberFormat="1" applyFont="1" applyFill="1"/>
    <xf numFmtId="165" fontId="100" fillId="4" borderId="1" xfId="1" applyNumberFormat="1" applyFont="1" applyFill="1" applyBorder="1" applyAlignment="1">
      <alignment horizontal="center" vertical="center" wrapText="1"/>
    </xf>
    <xf numFmtId="0" fontId="100" fillId="4" borderId="28" xfId="0" applyFont="1" applyFill="1" applyBorder="1" applyAlignment="1">
      <alignment horizontal="center" vertical="center" wrapText="1"/>
    </xf>
    <xf numFmtId="0" fontId="100" fillId="4" borderId="21" xfId="0" applyFont="1" applyFill="1" applyBorder="1" applyAlignment="1">
      <alignment horizontal="center" vertical="center" wrapText="1"/>
    </xf>
    <xf numFmtId="0" fontId="100" fillId="4" borderId="1" xfId="0" applyFont="1" applyFill="1" applyBorder="1" applyAlignment="1">
      <alignment horizontal="center" vertical="center" wrapText="1"/>
    </xf>
    <xf numFmtId="43" fontId="100" fillId="4" borderId="28" xfId="1" applyFont="1" applyFill="1" applyBorder="1" applyAlignment="1">
      <alignment horizontal="center" vertical="center" wrapText="1"/>
    </xf>
    <xf numFmtId="0" fontId="18" fillId="4" borderId="1" xfId="0" applyFont="1" applyFill="1" applyBorder="1" applyAlignment="1">
      <alignment horizontal="center" vertical="center" wrapText="1"/>
    </xf>
    <xf numFmtId="0" fontId="18" fillId="4" borderId="5" xfId="0" applyFont="1" applyFill="1" applyBorder="1" applyAlignment="1">
      <alignment vertical="center" wrapText="1"/>
    </xf>
    <xf numFmtId="0" fontId="18" fillId="4" borderId="6" xfId="0" applyFont="1" applyFill="1" applyBorder="1" applyAlignment="1">
      <alignment vertical="center" wrapText="1"/>
    </xf>
    <xf numFmtId="0" fontId="18" fillId="4" borderId="7" xfId="0" applyFont="1" applyFill="1" applyBorder="1" applyAlignment="1">
      <alignment vertical="center" wrapText="1"/>
    </xf>
    <xf numFmtId="165" fontId="19" fillId="4" borderId="1" xfId="3" applyNumberFormat="1" applyFont="1" applyFill="1" applyBorder="1" applyAlignment="1">
      <alignment vertical="center" wrapText="1"/>
    </xf>
    <xf numFmtId="165" fontId="18" fillId="4" borderId="1" xfId="1" applyNumberFormat="1" applyFont="1" applyFill="1" applyBorder="1" applyAlignment="1">
      <alignment horizontal="center" vertical="center" wrapText="1"/>
    </xf>
    <xf numFmtId="165" fontId="100" fillId="4" borderId="28" xfId="1" applyNumberFormat="1" applyFont="1" applyFill="1" applyBorder="1" applyAlignment="1">
      <alignment horizontal="center" vertical="center" wrapText="1"/>
    </xf>
    <xf numFmtId="0" fontId="18" fillId="4" borderId="5" xfId="0" applyFont="1" applyFill="1" applyBorder="1" applyAlignment="1">
      <alignment vertical="center"/>
    </xf>
    <xf numFmtId="165" fontId="18" fillId="4" borderId="7" xfId="0" applyNumberFormat="1" applyFont="1" applyFill="1" applyBorder="1" applyAlignment="1">
      <alignment vertical="center" wrapText="1"/>
    </xf>
    <xf numFmtId="165" fontId="19" fillId="4" borderId="1" xfId="0" applyNumberFormat="1" applyFont="1" applyFill="1" applyBorder="1" applyAlignment="1">
      <alignment horizontal="center" vertical="center" wrapText="1"/>
    </xf>
    <xf numFmtId="172" fontId="19" fillId="4" borderId="1" xfId="3" applyNumberFormat="1" applyFont="1" applyFill="1" applyBorder="1" applyAlignment="1">
      <alignment vertical="center" wrapText="1"/>
    </xf>
    <xf numFmtId="174" fontId="100" fillId="4" borderId="28" xfId="1" applyNumberFormat="1" applyFont="1" applyFill="1" applyBorder="1" applyAlignment="1">
      <alignment horizontal="center" vertical="center" wrapText="1"/>
    </xf>
    <xf numFmtId="172" fontId="100" fillId="4" borderId="28" xfId="1" applyNumberFormat="1" applyFont="1" applyFill="1" applyBorder="1" applyAlignment="1">
      <alignment horizontal="center" vertical="center" wrapText="1"/>
    </xf>
    <xf numFmtId="165" fontId="18" fillId="4" borderId="1" xfId="1" applyNumberFormat="1" applyFont="1" applyFill="1" applyBorder="1" applyAlignment="1">
      <alignment vertical="center"/>
    </xf>
    <xf numFmtId="43" fontId="18" fillId="4" borderId="1" xfId="1" applyFont="1" applyFill="1" applyBorder="1" applyAlignment="1">
      <alignment horizontal="center" vertical="center"/>
    </xf>
    <xf numFmtId="0" fontId="18" fillId="4" borderId="1" xfId="0" applyFont="1" applyFill="1" applyBorder="1" applyAlignment="1">
      <alignment horizontal="center" vertical="center"/>
    </xf>
    <xf numFmtId="0" fontId="18" fillId="4" borderId="0" xfId="0" applyFont="1" applyFill="1" applyAlignment="1">
      <alignment horizontal="right" vertical="center" wrapText="1"/>
    </xf>
    <xf numFmtId="165" fontId="18" fillId="4" borderId="0" xfId="1" applyNumberFormat="1" applyFont="1" applyFill="1" applyBorder="1" applyAlignment="1">
      <alignment vertical="center"/>
    </xf>
    <xf numFmtId="0" fontId="18" fillId="4" borderId="0" xfId="0" applyFont="1" applyFill="1" applyAlignment="1">
      <alignment horizontal="center" vertical="center"/>
    </xf>
    <xf numFmtId="164" fontId="3" fillId="20" borderId="1" xfId="0" applyNumberFormat="1" applyFont="1" applyFill="1" applyBorder="1" applyAlignment="1">
      <alignment horizontal="left" vertical="center" wrapText="1"/>
    </xf>
    <xf numFmtId="164" fontId="3" fillId="20" borderId="1" xfId="0" applyNumberFormat="1" applyFont="1" applyFill="1" applyBorder="1" applyAlignment="1">
      <alignment horizontal="center" vertical="center"/>
    </xf>
    <xf numFmtId="165" fontId="0" fillId="20" borderId="0" xfId="1" applyNumberFormat="1" applyFont="1" applyFill="1"/>
    <xf numFmtId="0" fontId="0" fillId="20" borderId="0" xfId="0" applyFill="1"/>
    <xf numFmtId="164" fontId="3" fillId="21" borderId="1" xfId="0" applyNumberFormat="1" applyFont="1" applyFill="1" applyBorder="1" applyAlignment="1">
      <alignment horizontal="left" vertical="center" wrapText="1"/>
    </xf>
    <xf numFmtId="164" fontId="3" fillId="21" borderId="1" xfId="0" applyNumberFormat="1" applyFont="1" applyFill="1" applyBorder="1" applyAlignment="1">
      <alignment horizontal="center" vertical="center"/>
    </xf>
    <xf numFmtId="165" fontId="0" fillId="21" borderId="0" xfId="1" applyNumberFormat="1" applyFont="1" applyFill="1"/>
    <xf numFmtId="0" fontId="0" fillId="21" borderId="0" xfId="0" applyFill="1"/>
    <xf numFmtId="164" fontId="3" fillId="21" borderId="1" xfId="0" applyNumberFormat="1" applyFont="1" applyFill="1" applyBorder="1" applyAlignment="1">
      <alignment horizontal="left" vertical="center"/>
    </xf>
    <xf numFmtId="164" fontId="3" fillId="9" borderId="1" xfId="0" applyNumberFormat="1" applyFont="1" applyFill="1" applyBorder="1" applyAlignment="1">
      <alignment horizontal="center" vertical="center"/>
    </xf>
    <xf numFmtId="0" fontId="0" fillId="9" borderId="0" xfId="0" applyFill="1"/>
    <xf numFmtId="164" fontId="3" fillId="22" borderId="1" xfId="0" applyNumberFormat="1" applyFont="1" applyFill="1" applyBorder="1" applyAlignment="1">
      <alignment horizontal="left" vertical="center" wrapText="1"/>
    </xf>
    <xf numFmtId="164" fontId="3" fillId="22" borderId="1" xfId="0" applyNumberFormat="1" applyFont="1" applyFill="1" applyBorder="1" applyAlignment="1">
      <alignment horizontal="center" vertical="center"/>
    </xf>
    <xf numFmtId="165" fontId="0" fillId="22" borderId="0" xfId="1" applyNumberFormat="1" applyFont="1" applyFill="1"/>
    <xf numFmtId="0" fontId="0" fillId="22" borderId="0" xfId="0" applyFill="1"/>
    <xf numFmtId="0" fontId="0" fillId="22" borderId="1" xfId="0" applyFill="1" applyBorder="1" applyAlignment="1">
      <alignment horizontal="center" vertical="center"/>
    </xf>
    <xf numFmtId="165" fontId="0" fillId="22" borderId="4" xfId="1" applyNumberFormat="1" applyFont="1" applyFill="1" applyBorder="1" applyAlignment="1">
      <alignment horizontal="center" vertical="center"/>
    </xf>
    <xf numFmtId="164" fontId="2" fillId="21" borderId="16" xfId="0" applyNumberFormat="1" applyFont="1" applyFill="1" applyBorder="1" applyAlignment="1">
      <alignment vertical="center"/>
    </xf>
    <xf numFmtId="164" fontId="2" fillId="20" borderId="16" xfId="0" applyNumberFormat="1" applyFont="1" applyFill="1" applyBorder="1" applyAlignment="1">
      <alignment vertical="center"/>
    </xf>
    <xf numFmtId="164" fontId="0" fillId="3" borderId="16" xfId="0" applyNumberFormat="1" applyFill="1" applyBorder="1" applyAlignment="1">
      <alignment vertical="center"/>
    </xf>
    <xf numFmtId="164" fontId="4" fillId="3" borderId="16" xfId="0" applyNumberFormat="1" applyFont="1" applyFill="1" applyBorder="1" applyAlignment="1">
      <alignment vertical="center"/>
    </xf>
    <xf numFmtId="164" fontId="0" fillId="0" borderId="16" xfId="0" applyNumberFormat="1" applyBorder="1" applyAlignment="1">
      <alignment vertical="center"/>
    </xf>
    <xf numFmtId="164" fontId="0" fillId="0" borderId="14" xfId="0" applyNumberFormat="1" applyBorder="1" applyAlignment="1">
      <alignment vertical="center"/>
    </xf>
    <xf numFmtId="164" fontId="3" fillId="9" borderId="1" xfId="0" applyNumberFormat="1" applyFont="1" applyFill="1" applyBorder="1" applyAlignment="1">
      <alignment horizontal="left" vertical="center"/>
    </xf>
    <xf numFmtId="164" fontId="0" fillId="9" borderId="16" xfId="0" applyNumberFormat="1" applyFill="1" applyBorder="1" applyAlignment="1">
      <alignment vertical="center"/>
    </xf>
    <xf numFmtId="164" fontId="3" fillId="4" borderId="1" xfId="0" applyNumberFormat="1" applyFont="1" applyFill="1" applyBorder="1" applyAlignment="1">
      <alignment horizontal="left" vertical="center"/>
    </xf>
    <xf numFmtId="164" fontId="3" fillId="4" borderId="1" xfId="0" applyNumberFormat="1" applyFont="1" applyFill="1" applyBorder="1" applyAlignment="1">
      <alignment horizontal="center" vertical="center"/>
    </xf>
    <xf numFmtId="164" fontId="0" fillId="4" borderId="16" xfId="0" applyNumberFormat="1" applyFill="1" applyBorder="1" applyAlignment="1">
      <alignment vertical="center"/>
    </xf>
    <xf numFmtId="0" fontId="0" fillId="4" borderId="0" xfId="0" applyFill="1"/>
    <xf numFmtId="0" fontId="6" fillId="4" borderId="1" xfId="11" applyFont="1" applyFill="1" applyBorder="1" applyAlignment="1">
      <alignment horizontal="center" vertical="center" wrapText="1"/>
    </xf>
    <xf numFmtId="0" fontId="7" fillId="4" borderId="1" xfId="11" applyFont="1" applyFill="1" applyBorder="1" applyAlignment="1">
      <alignment horizontal="center" vertical="center" wrapText="1"/>
    </xf>
    <xf numFmtId="0" fontId="7" fillId="4" borderId="8" xfId="11" applyFont="1" applyFill="1" applyBorder="1" applyAlignment="1">
      <alignment horizontal="center" vertical="center" wrapText="1"/>
    </xf>
    <xf numFmtId="0" fontId="7" fillId="4" borderId="9" xfId="11" applyFont="1" applyFill="1" applyBorder="1" applyAlignment="1">
      <alignment horizontal="center" vertical="center" wrapText="1"/>
    </xf>
    <xf numFmtId="0" fontId="7" fillId="4" borderId="12" xfId="11" applyFont="1" applyFill="1" applyBorder="1" applyAlignment="1">
      <alignment horizontal="center" vertical="center" wrapText="1"/>
    </xf>
    <xf numFmtId="0" fontId="7" fillId="4" borderId="2" xfId="11" applyFont="1" applyFill="1" applyBorder="1" applyAlignment="1">
      <alignment horizontal="center" vertical="center" wrapText="1"/>
    </xf>
    <xf numFmtId="0" fontId="7" fillId="4" borderId="0" xfId="11" applyFont="1" applyFill="1" applyAlignment="1">
      <alignment horizontal="center" vertical="center" wrapText="1"/>
    </xf>
    <xf numFmtId="0" fontId="7" fillId="4" borderId="3" xfId="11" applyFont="1" applyFill="1" applyBorder="1" applyAlignment="1">
      <alignment horizontal="center" vertical="center" wrapText="1"/>
    </xf>
    <xf numFmtId="0" fontId="7" fillId="4" borderId="10" xfId="11" applyFont="1" applyFill="1" applyBorder="1" applyAlignment="1">
      <alignment horizontal="center" vertical="center" wrapText="1"/>
    </xf>
    <xf numFmtId="0" fontId="7" fillId="4" borderId="11" xfId="11" applyFont="1" applyFill="1" applyBorder="1" applyAlignment="1">
      <alignment horizontal="center" vertical="center" wrapText="1"/>
    </xf>
    <xf numFmtId="0" fontId="7" fillId="4" borderId="13" xfId="11" applyFont="1" applyFill="1" applyBorder="1" applyAlignment="1">
      <alignment horizontal="center" vertical="center" wrapText="1"/>
    </xf>
    <xf numFmtId="0" fontId="9" fillId="4"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9" fillId="4" borderId="1" xfId="11" applyFont="1" applyFill="1" applyBorder="1" applyAlignment="1">
      <alignment horizontal="center" vertical="center" wrapText="1"/>
    </xf>
    <xf numFmtId="0" fontId="12" fillId="4" borderId="4" xfId="11" applyFont="1" applyFill="1" applyBorder="1" applyAlignment="1">
      <alignment horizontal="center" vertical="center" wrapText="1"/>
    </xf>
    <xf numFmtId="0" fontId="12" fillId="4" borderId="14" xfId="11"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4" xfId="11" applyFont="1" applyFill="1" applyBorder="1" applyAlignment="1" applyProtection="1">
      <alignment horizontal="center" vertical="center" wrapText="1"/>
      <protection locked="0"/>
    </xf>
    <xf numFmtId="0" fontId="12" fillId="4" borderId="14" xfId="11" applyFont="1" applyFill="1" applyBorder="1" applyAlignment="1" applyProtection="1">
      <alignment horizontal="center" vertical="center" wrapText="1"/>
      <protection locked="0"/>
    </xf>
    <xf numFmtId="0" fontId="12" fillId="4" borderId="2" xfId="0" applyFont="1" applyFill="1" applyBorder="1" applyAlignment="1">
      <alignment horizontal="left" vertical="center" wrapText="1"/>
    </xf>
    <xf numFmtId="0" fontId="12" fillId="4" borderId="0" xfId="0" applyFont="1" applyFill="1" applyAlignment="1">
      <alignment horizontal="left" vertical="center" wrapText="1"/>
    </xf>
    <xf numFmtId="0" fontId="9" fillId="4" borderId="0" xfId="0" applyFont="1" applyFill="1" applyAlignment="1">
      <alignment horizontal="center" vertical="center"/>
    </xf>
    <xf numFmtId="0" fontId="12" fillId="4" borderId="8" xfId="0" applyFont="1" applyFill="1" applyBorder="1" applyAlignment="1">
      <alignment horizontal="center" vertical="center"/>
    </xf>
    <xf numFmtId="0" fontId="12" fillId="4" borderId="9" xfId="0" applyFont="1" applyFill="1" applyBorder="1" applyAlignment="1">
      <alignment horizontal="center" vertical="center"/>
    </xf>
    <xf numFmtId="0" fontId="12" fillId="4" borderId="12" xfId="0" applyFont="1" applyFill="1" applyBorder="1" applyAlignment="1">
      <alignment horizontal="center" vertical="center"/>
    </xf>
    <xf numFmtId="0" fontId="12" fillId="4" borderId="10"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22" fillId="13" borderId="34" xfId="0" applyFont="1" applyFill="1" applyBorder="1" applyAlignment="1">
      <alignment horizontal="center" vertical="center" wrapText="1"/>
    </xf>
    <xf numFmtId="0" fontId="22" fillId="13" borderId="65" xfId="0" applyFont="1" applyFill="1" applyBorder="1" applyAlignment="1">
      <alignment horizontal="center" vertical="center" wrapText="1"/>
    </xf>
    <xf numFmtId="0" fontId="16" fillId="13" borderId="35" xfId="0" applyFont="1" applyFill="1" applyBorder="1" applyAlignment="1">
      <alignment horizontal="center" vertical="center" wrapText="1"/>
    </xf>
    <xf numFmtId="0" fontId="16" fillId="13" borderId="36" xfId="0" applyFont="1" applyFill="1" applyBorder="1" applyAlignment="1">
      <alignment horizontal="center" vertical="center" wrapText="1"/>
    </xf>
    <xf numFmtId="0" fontId="16" fillId="13" borderId="37" xfId="0" applyFont="1" applyFill="1" applyBorder="1" applyAlignment="1">
      <alignment horizontal="center" vertical="center" wrapText="1"/>
    </xf>
    <xf numFmtId="0" fontId="12" fillId="8" borderId="5" xfId="0" applyFont="1" applyFill="1" applyBorder="1" applyAlignment="1">
      <alignment horizontal="left" vertical="center" wrapText="1"/>
    </xf>
    <xf numFmtId="0" fontId="12" fillId="8" borderId="6" xfId="0" applyFont="1" applyFill="1" applyBorder="1" applyAlignment="1">
      <alignment horizontal="left" vertical="center" wrapText="1"/>
    </xf>
    <xf numFmtId="0" fontId="12" fillId="8" borderId="7" xfId="0" applyFont="1" applyFill="1" applyBorder="1" applyAlignment="1">
      <alignment horizontal="left" vertical="center" wrapText="1"/>
    </xf>
    <xf numFmtId="0" fontId="7" fillId="4" borderId="65" xfId="0" applyFont="1" applyFill="1" applyBorder="1" applyAlignment="1">
      <alignment horizontal="center" vertical="center" wrapText="1"/>
    </xf>
    <xf numFmtId="0" fontId="7" fillId="4" borderId="35" xfId="0" applyFont="1" applyFill="1" applyBorder="1" applyAlignment="1">
      <alignment horizontal="center" vertical="center" wrapText="1"/>
    </xf>
    <xf numFmtId="0" fontId="7" fillId="4" borderId="36"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18" fillId="0" borderId="14" xfId="0" applyFont="1" applyBorder="1" applyAlignment="1">
      <alignment horizontal="left"/>
    </xf>
    <xf numFmtId="0" fontId="19" fillId="0" borderId="1" xfId="0" applyFont="1" applyBorder="1" applyAlignment="1">
      <alignment horizontal="left" vertical="center"/>
    </xf>
    <xf numFmtId="0" fontId="19" fillId="0" borderId="1" xfId="0" applyFont="1" applyBorder="1" applyAlignment="1">
      <alignment horizontal="left"/>
    </xf>
    <xf numFmtId="0" fontId="18" fillId="0" borderId="1" xfId="0" applyFont="1" applyBorder="1" applyAlignment="1">
      <alignment horizontal="left"/>
    </xf>
    <xf numFmtId="0" fontId="19" fillId="0" borderId="4" xfId="0" applyFont="1" applyBorder="1" applyAlignment="1">
      <alignment horizontal="left"/>
    </xf>
    <xf numFmtId="0" fontId="19" fillId="0" borderId="5" xfId="0" applyFont="1" applyBorder="1" applyAlignment="1">
      <alignment horizontal="left"/>
    </xf>
    <xf numFmtId="0" fontId="19" fillId="0" borderId="6" xfId="0" applyFont="1" applyBorder="1" applyAlignment="1">
      <alignment horizontal="left"/>
    </xf>
    <xf numFmtId="0" fontId="19" fillId="0" borderId="7" xfId="0" applyFont="1" applyBorder="1" applyAlignment="1">
      <alignment horizontal="left"/>
    </xf>
    <xf numFmtId="0" fontId="21" fillId="0" borderId="1" xfId="0" applyFont="1" applyBorder="1" applyAlignment="1">
      <alignment horizontal="left"/>
    </xf>
    <xf numFmtId="0" fontId="82" fillId="13" borderId="22" xfId="0" applyFont="1" applyFill="1" applyBorder="1" applyAlignment="1">
      <alignment horizontal="center"/>
    </xf>
    <xf numFmtId="0" fontId="82" fillId="13" borderId="23" xfId="0" applyFont="1" applyFill="1" applyBorder="1" applyAlignment="1">
      <alignment horizontal="center"/>
    </xf>
    <xf numFmtId="0" fontId="79" fillId="0" borderId="5" xfId="0" applyFont="1" applyBorder="1" applyAlignment="1">
      <alignment horizontal="center"/>
    </xf>
    <xf numFmtId="0" fontId="79" fillId="0" borderId="6" xfId="0" applyFont="1" applyBorder="1" applyAlignment="1">
      <alignment horizontal="center"/>
    </xf>
    <xf numFmtId="0" fontId="80" fillId="13" borderId="58" xfId="0" applyFont="1" applyFill="1" applyBorder="1" applyAlignment="1">
      <alignment horizontal="center" vertical="center"/>
    </xf>
    <xf numFmtId="0" fontId="80" fillId="13" borderId="59" xfId="0" applyFont="1" applyFill="1" applyBorder="1" applyAlignment="1">
      <alignment horizontal="center" vertical="center"/>
    </xf>
    <xf numFmtId="0" fontId="16" fillId="13" borderId="60" xfId="0" applyFont="1" applyFill="1" applyBorder="1" applyAlignment="1">
      <alignment horizontal="center" vertical="center" wrapText="1"/>
    </xf>
    <xf numFmtId="0" fontId="16" fillId="13" borderId="61" xfId="0" applyFont="1" applyFill="1" applyBorder="1" applyAlignment="1">
      <alignment horizontal="center" vertical="center" wrapText="1"/>
    </xf>
    <xf numFmtId="0" fontId="16" fillId="13" borderId="59"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81" fillId="14" borderId="4" xfId="0" applyFont="1" applyFill="1" applyBorder="1" applyAlignment="1">
      <alignment horizontal="center" vertical="center" wrapText="1"/>
    </xf>
    <xf numFmtId="0" fontId="81" fillId="14" borderId="16" xfId="0" applyFont="1" applyFill="1" applyBorder="1" applyAlignment="1">
      <alignment horizontal="center" vertical="center" wrapText="1"/>
    </xf>
    <xf numFmtId="0" fontId="81" fillId="14" borderId="14" xfId="0" applyFont="1" applyFill="1" applyBorder="1" applyAlignment="1">
      <alignment horizontal="center" vertical="center" wrapText="1"/>
    </xf>
    <xf numFmtId="0" fontId="81" fillId="14" borderId="62" xfId="0" applyFont="1" applyFill="1" applyBorder="1" applyAlignment="1">
      <alignment horizontal="center" vertical="center" wrapText="1"/>
    </xf>
    <xf numFmtId="0" fontId="81" fillId="14" borderId="63" xfId="0" applyFont="1" applyFill="1" applyBorder="1" applyAlignment="1">
      <alignment horizontal="center" vertical="center" wrapText="1"/>
    </xf>
    <xf numFmtId="0" fontId="81" fillId="14" borderId="64" xfId="0" applyFont="1" applyFill="1" applyBorder="1" applyAlignment="1">
      <alignment horizontal="center" vertical="center" wrapText="1"/>
    </xf>
    <xf numFmtId="0" fontId="19" fillId="17" borderId="21" xfId="0" applyFont="1" applyFill="1" applyBorder="1" applyAlignment="1">
      <alignment horizontal="center" vertical="center"/>
    </xf>
    <xf numFmtId="0" fontId="19" fillId="17" borderId="1" xfId="0" applyFont="1" applyFill="1" applyBorder="1" applyAlignment="1">
      <alignment horizontal="center" vertical="center"/>
    </xf>
    <xf numFmtId="0" fontId="12" fillId="4" borderId="1" xfId="0" applyFont="1" applyFill="1" applyBorder="1" applyAlignment="1">
      <alignment horizontal="left"/>
    </xf>
    <xf numFmtId="0" fontId="9" fillId="4" borderId="1" xfId="0" applyFont="1" applyFill="1" applyBorder="1" applyAlignment="1">
      <alignment horizontal="left" vertical="center"/>
    </xf>
    <xf numFmtId="0" fontId="9" fillId="0" borderId="1" xfId="0" applyFont="1" applyBorder="1" applyAlignment="1">
      <alignment horizontal="left"/>
    </xf>
    <xf numFmtId="0" fontId="12" fillId="0" borderId="1" xfId="0" applyFont="1" applyBorder="1" applyAlignment="1">
      <alignment horizontal="left"/>
    </xf>
    <xf numFmtId="0" fontId="9" fillId="4" borderId="1" xfId="0" applyFont="1" applyFill="1" applyBorder="1" applyAlignment="1">
      <alignment horizontal="center"/>
    </xf>
    <xf numFmtId="0" fontId="79" fillId="0" borderId="1" xfId="0" applyFont="1" applyBorder="1" applyAlignment="1">
      <alignment horizontal="center"/>
    </xf>
    <xf numFmtId="0" fontId="19" fillId="0" borderId="1" xfId="0" applyFont="1" applyBorder="1" applyAlignment="1">
      <alignment horizontal="left" wrapText="1"/>
    </xf>
    <xf numFmtId="0" fontId="78" fillId="13" borderId="44" xfId="0" applyFont="1" applyFill="1" applyBorder="1" applyAlignment="1">
      <alignment horizontal="center" vertical="center" wrapText="1"/>
    </xf>
    <xf numFmtId="0" fontId="78" fillId="13" borderId="45" xfId="0" applyFont="1" applyFill="1" applyBorder="1" applyAlignment="1">
      <alignment horizontal="center" vertical="center" wrapText="1"/>
    </xf>
    <xf numFmtId="0" fontId="78" fillId="13" borderId="10" xfId="0" applyFont="1" applyFill="1" applyBorder="1" applyAlignment="1">
      <alignment horizontal="center" vertical="center" wrapText="1"/>
    </xf>
    <xf numFmtId="0" fontId="78" fillId="13" borderId="11" xfId="0" applyFont="1" applyFill="1" applyBorder="1" applyAlignment="1">
      <alignment horizontal="center" vertical="center" wrapText="1"/>
    </xf>
    <xf numFmtId="0" fontId="77" fillId="9" borderId="38" xfId="0" applyFont="1" applyFill="1" applyBorder="1" applyAlignment="1">
      <alignment horizontal="left" vertical="center" wrapText="1"/>
    </xf>
    <xf numFmtId="0" fontId="77" fillId="9" borderId="12" xfId="0" applyFont="1" applyFill="1" applyBorder="1" applyAlignment="1">
      <alignment horizontal="left" vertical="center" wrapText="1"/>
    </xf>
    <xf numFmtId="0" fontId="77" fillId="9" borderId="40" xfId="0" applyFont="1" applyFill="1" applyBorder="1" applyAlignment="1">
      <alignment horizontal="left" vertical="center" wrapText="1"/>
    </xf>
    <xf numFmtId="0" fontId="77" fillId="9" borderId="13" xfId="0" applyFont="1" applyFill="1" applyBorder="1" applyAlignment="1">
      <alignment horizontal="left" vertical="center" wrapText="1"/>
    </xf>
    <xf numFmtId="0" fontId="63" fillId="9" borderId="5" xfId="0" applyFont="1" applyFill="1" applyBorder="1" applyAlignment="1">
      <alignment horizontal="center" vertical="center" wrapText="1"/>
    </xf>
    <xf numFmtId="0" fontId="63" fillId="9" borderId="7" xfId="0" applyFont="1" applyFill="1" applyBorder="1" applyAlignment="1">
      <alignment horizontal="center" vertical="center" wrapText="1"/>
    </xf>
    <xf numFmtId="0" fontId="77" fillId="9" borderId="1" xfId="0" applyFont="1" applyFill="1" applyBorder="1" applyAlignment="1">
      <alignment horizontal="left" vertical="center" wrapText="1"/>
    </xf>
    <xf numFmtId="0" fontId="77" fillId="9" borderId="39" xfId="0" applyFont="1" applyFill="1" applyBorder="1" applyAlignment="1">
      <alignment horizontal="left" vertical="center" wrapText="1"/>
    </xf>
    <xf numFmtId="0" fontId="77" fillId="9" borderId="7" xfId="0" applyFont="1" applyFill="1" applyBorder="1" applyAlignment="1">
      <alignment horizontal="left" vertical="center" wrapText="1"/>
    </xf>
    <xf numFmtId="0" fontId="69" fillId="0" borderId="38" xfId="0" applyFont="1" applyBorder="1" applyAlignment="1">
      <alignment horizontal="center" vertical="center" wrapText="1"/>
    </xf>
    <xf numFmtId="0" fontId="69" fillId="0" borderId="9" xfId="0" applyFont="1" applyBorder="1" applyAlignment="1">
      <alignment horizontal="center" vertical="center" wrapText="1"/>
    </xf>
    <xf numFmtId="0" fontId="68" fillId="14" borderId="1" xfId="0" applyFont="1" applyFill="1" applyBorder="1" applyAlignment="1">
      <alignment horizontal="center" vertical="center" wrapText="1"/>
    </xf>
    <xf numFmtId="0" fontId="68" fillId="14" borderId="5" xfId="0" applyFont="1" applyFill="1" applyBorder="1" applyAlignment="1">
      <alignment horizontal="center" vertical="center" wrapText="1"/>
    </xf>
    <xf numFmtId="0" fontId="68" fillId="14" borderId="6" xfId="0" applyFont="1" applyFill="1" applyBorder="1" applyAlignment="1">
      <alignment horizontal="center" vertical="center" wrapText="1"/>
    </xf>
    <xf numFmtId="0" fontId="68" fillId="14" borderId="7" xfId="0" applyFont="1" applyFill="1" applyBorder="1" applyAlignment="1">
      <alignment horizontal="center" vertical="center" wrapText="1"/>
    </xf>
    <xf numFmtId="0" fontId="68" fillId="14" borderId="39" xfId="0" applyFont="1" applyFill="1" applyBorder="1" applyAlignment="1">
      <alignment horizontal="center" vertical="center" wrapText="1"/>
    </xf>
    <xf numFmtId="0" fontId="63" fillId="9" borderId="1" xfId="0" applyFont="1" applyFill="1" applyBorder="1" applyAlignment="1">
      <alignment horizontal="center" vertical="center" wrapText="1"/>
    </xf>
    <xf numFmtId="0" fontId="63" fillId="9" borderId="1" xfId="0" applyFont="1" applyFill="1" applyBorder="1" applyAlignment="1">
      <alignment horizontal="center" vertical="center"/>
    </xf>
    <xf numFmtId="0" fontId="46" fillId="13" borderId="54" xfId="0" applyFont="1" applyFill="1" applyBorder="1" applyAlignment="1">
      <alignment horizontal="center"/>
    </xf>
    <xf numFmtId="0" fontId="46" fillId="13" borderId="57" xfId="0" applyFont="1" applyFill="1" applyBorder="1" applyAlignment="1">
      <alignment horizontal="center"/>
    </xf>
    <xf numFmtId="0" fontId="77" fillId="9" borderId="1" xfId="0" applyFont="1" applyFill="1" applyBorder="1" applyAlignment="1">
      <alignment horizontal="center" vertical="center" wrapText="1"/>
    </xf>
    <xf numFmtId="0" fontId="22" fillId="13" borderId="25" xfId="11" applyFont="1" applyFill="1" applyBorder="1" applyAlignment="1">
      <alignment horizontal="center" vertical="center" wrapText="1"/>
    </xf>
    <xf numFmtId="0" fontId="22" fillId="13" borderId="55" xfId="11" applyFont="1" applyFill="1" applyBorder="1" applyAlignment="1">
      <alignment horizontal="center" vertical="center" wrapText="1"/>
    </xf>
    <xf numFmtId="0" fontId="22" fillId="13" borderId="56" xfId="11" applyFont="1" applyFill="1" applyBorder="1" applyAlignment="1">
      <alignment horizontal="center" vertical="center" wrapText="1"/>
    </xf>
    <xf numFmtId="0" fontId="22" fillId="13" borderId="10" xfId="11" applyFont="1" applyFill="1" applyBorder="1" applyAlignment="1">
      <alignment horizontal="center" vertical="center" wrapText="1"/>
    </xf>
    <xf numFmtId="0" fontId="22" fillId="13" borderId="11" xfId="11" applyFont="1" applyFill="1" applyBorder="1" applyAlignment="1">
      <alignment horizontal="center" vertical="center" wrapText="1"/>
    </xf>
    <xf numFmtId="0" fontId="22" fillId="13" borderId="13" xfId="11" applyFont="1" applyFill="1" applyBorder="1" applyAlignment="1">
      <alignment horizontal="center" vertical="center" wrapText="1"/>
    </xf>
    <xf numFmtId="0" fontId="68" fillId="14" borderId="38" xfId="0" applyFont="1" applyFill="1" applyBorder="1" applyAlignment="1">
      <alignment horizontal="right" vertical="center" wrapText="1"/>
    </xf>
    <xf numFmtId="0" fontId="68" fillId="14" borderId="9" xfId="0" applyFont="1" applyFill="1" applyBorder="1" applyAlignment="1">
      <alignment horizontal="right" vertical="center" wrapText="1"/>
    </xf>
    <xf numFmtId="0" fontId="68" fillId="14" borderId="12" xfId="0" applyFont="1" applyFill="1" applyBorder="1" applyAlignment="1">
      <alignment horizontal="right" vertical="center" wrapText="1"/>
    </xf>
    <xf numFmtId="0" fontId="68" fillId="14" borderId="42" xfId="0" applyFont="1" applyFill="1" applyBorder="1" applyAlignment="1">
      <alignment horizontal="right" vertical="center" wrapText="1"/>
    </xf>
    <xf numFmtId="0" fontId="68" fillId="14" borderId="43" xfId="0" applyFont="1" applyFill="1" applyBorder="1" applyAlignment="1">
      <alignment horizontal="right" vertical="center" wrapText="1"/>
    </xf>
    <xf numFmtId="0" fontId="68" fillId="14" borderId="52" xfId="0" applyFont="1" applyFill="1" applyBorder="1" applyAlignment="1">
      <alignment horizontal="right" vertical="center" wrapText="1"/>
    </xf>
    <xf numFmtId="0" fontId="71" fillId="7" borderId="10" xfId="0" applyFont="1" applyFill="1" applyBorder="1" applyAlignment="1">
      <alignment horizontal="center" vertical="center" wrapText="1"/>
    </xf>
    <xf numFmtId="0" fontId="71" fillId="7" borderId="13" xfId="0" applyFont="1" applyFill="1" applyBorder="1" applyAlignment="1">
      <alignment horizontal="center" vertical="center" wrapText="1"/>
    </xf>
    <xf numFmtId="0" fontId="77" fillId="0" borderId="2" xfId="0" applyFont="1" applyBorder="1" applyAlignment="1">
      <alignment horizontal="center"/>
    </xf>
    <xf numFmtId="0" fontId="77" fillId="0" borderId="3" xfId="0" applyFont="1" applyBorder="1" applyAlignment="1">
      <alignment horizontal="center"/>
    </xf>
    <xf numFmtId="0" fontId="65" fillId="0" borderId="40" xfId="0" applyFont="1" applyBorder="1" applyAlignment="1">
      <alignment horizontal="center"/>
    </xf>
    <xf numFmtId="0" fontId="65" fillId="0" borderId="11" xfId="0" applyFont="1" applyBorder="1" applyAlignment="1">
      <alignment horizontal="center"/>
    </xf>
    <xf numFmtId="0" fontId="65" fillId="0" borderId="48" xfId="0" applyFont="1" applyBorder="1" applyAlignment="1">
      <alignment horizontal="center"/>
    </xf>
    <xf numFmtId="0" fontId="73" fillId="8" borderId="41" xfId="0" applyFont="1" applyFill="1" applyBorder="1" applyAlignment="1">
      <alignment horizontal="right" vertical="center" wrapText="1"/>
    </xf>
    <xf numFmtId="0" fontId="73" fillId="8" borderId="1" xfId="0" applyFont="1" applyFill="1" applyBorder="1" applyAlignment="1">
      <alignment horizontal="right" vertical="center" wrapText="1"/>
    </xf>
    <xf numFmtId="0" fontId="7" fillId="4" borderId="1" xfId="0" applyFont="1" applyFill="1" applyBorder="1" applyAlignment="1">
      <alignment horizontal="center" vertical="center" wrapText="1"/>
    </xf>
    <xf numFmtId="0" fontId="63" fillId="4" borderId="1" xfId="0" applyFont="1" applyFill="1" applyBorder="1" applyAlignment="1">
      <alignment horizontal="center" vertical="center" wrapText="1"/>
    </xf>
    <xf numFmtId="0" fontId="63" fillId="4" borderId="1" xfId="0" applyFont="1" applyFill="1" applyBorder="1" applyAlignment="1">
      <alignment horizontal="center" vertical="center"/>
    </xf>
    <xf numFmtId="0" fontId="51" fillId="4" borderId="1" xfId="0" applyFont="1" applyFill="1" applyBorder="1" applyAlignment="1">
      <alignment horizontal="center"/>
    </xf>
    <xf numFmtId="0" fontId="75" fillId="9" borderId="1" xfId="0" applyFont="1" applyFill="1" applyBorder="1" applyAlignment="1">
      <alignment horizontal="center" vertical="center" wrapText="1"/>
    </xf>
    <xf numFmtId="0" fontId="75" fillId="9" borderId="1" xfId="0" applyFont="1" applyFill="1" applyBorder="1" applyAlignment="1">
      <alignment horizontal="left" vertical="center" wrapText="1"/>
    </xf>
    <xf numFmtId="0" fontId="62" fillId="4" borderId="8" xfId="0" applyFont="1" applyFill="1" applyBorder="1" applyAlignment="1">
      <alignment horizontal="right" vertical="center" wrapText="1"/>
    </xf>
    <xf numFmtId="0" fontId="62" fillId="4" borderId="9" xfId="0" applyFont="1" applyFill="1" applyBorder="1" applyAlignment="1">
      <alignment horizontal="right" vertical="center" wrapText="1"/>
    </xf>
    <xf numFmtId="0" fontId="62" fillId="4" borderId="14" xfId="0" applyFont="1" applyFill="1" applyBorder="1" applyAlignment="1">
      <alignment horizontal="right" vertical="center" wrapText="1"/>
    </xf>
    <xf numFmtId="0" fontId="62" fillId="4" borderId="10" xfId="0" applyFont="1" applyFill="1" applyBorder="1" applyAlignment="1">
      <alignment horizontal="right" vertical="center" wrapText="1"/>
    </xf>
    <xf numFmtId="0" fontId="62" fillId="4" borderId="1" xfId="0" applyFont="1" applyFill="1" applyBorder="1" applyAlignment="1">
      <alignment horizontal="center" vertical="center" wrapText="1"/>
    </xf>
    <xf numFmtId="0" fontId="75" fillId="0" borderId="1" xfId="0" applyFont="1" applyBorder="1" applyAlignment="1">
      <alignment horizontal="center"/>
    </xf>
    <xf numFmtId="0" fontId="66" fillId="0" borderId="1" xfId="0" applyFont="1" applyBorder="1" applyAlignment="1">
      <alignment horizontal="center"/>
    </xf>
    <xf numFmtId="0" fontId="62" fillId="4" borderId="1" xfId="0" applyFont="1" applyFill="1" applyBorder="1" applyAlignment="1">
      <alignment horizontal="right" vertical="center" wrapText="1"/>
    </xf>
    <xf numFmtId="0" fontId="74" fillId="0" borderId="1" xfId="0" applyFont="1" applyBorder="1" applyAlignment="1">
      <alignment horizontal="center" vertical="center" wrapText="1"/>
    </xf>
    <xf numFmtId="0" fontId="61" fillId="14" borderId="1" xfId="0" applyFont="1" applyFill="1" applyBorder="1" applyAlignment="1">
      <alignment horizontal="center" vertical="center" wrapText="1"/>
    </xf>
    <xf numFmtId="0" fontId="58" fillId="9" borderId="1" xfId="0" applyFont="1" applyFill="1" applyBorder="1" applyAlignment="1">
      <alignment horizontal="center" vertical="center" wrapText="1"/>
    </xf>
    <xf numFmtId="0" fontId="58" fillId="9" borderId="1" xfId="0" applyFont="1" applyFill="1" applyBorder="1" applyAlignment="1">
      <alignment horizontal="left" vertical="center" wrapText="1"/>
    </xf>
    <xf numFmtId="0" fontId="58" fillId="9" borderId="39" xfId="0" applyFont="1" applyFill="1" applyBorder="1" applyAlignment="1">
      <alignment horizontal="left" vertical="center" wrapText="1"/>
    </xf>
    <xf numFmtId="0" fontId="58" fillId="9" borderId="7" xfId="0" applyFont="1" applyFill="1" applyBorder="1" applyAlignment="1">
      <alignment horizontal="left" vertical="center" wrapText="1"/>
    </xf>
    <xf numFmtId="0" fontId="58" fillId="0" borderId="2" xfId="0" applyFont="1" applyBorder="1" applyAlignment="1">
      <alignment horizontal="center"/>
    </xf>
    <xf numFmtId="0" fontId="58" fillId="0" borderId="3" xfId="0" applyFont="1" applyBorder="1" applyAlignment="1">
      <alignment horizontal="center"/>
    </xf>
    <xf numFmtId="0" fontId="58" fillId="9" borderId="38" xfId="0" applyFont="1" applyFill="1" applyBorder="1" applyAlignment="1">
      <alignment horizontal="left" vertical="center" wrapText="1"/>
    </xf>
    <xf numFmtId="0" fontId="58" fillId="9" borderId="12" xfId="0" applyFont="1" applyFill="1" applyBorder="1" applyAlignment="1">
      <alignment horizontal="left" vertical="center" wrapText="1"/>
    </xf>
    <xf numFmtId="0" fontId="58" fillId="9" borderId="40" xfId="0" applyFont="1" applyFill="1" applyBorder="1" applyAlignment="1">
      <alignment horizontal="left" vertical="center" wrapText="1"/>
    </xf>
    <xf numFmtId="0" fontId="58" fillId="9" borderId="13" xfId="0" applyFont="1" applyFill="1" applyBorder="1" applyAlignment="1">
      <alignment horizontal="left" vertical="center" wrapText="1"/>
    </xf>
    <xf numFmtId="0" fontId="70" fillId="14" borderId="39" xfId="0" applyFont="1" applyFill="1" applyBorder="1" applyAlignment="1">
      <alignment horizontal="center" vertical="center" wrapText="1"/>
    </xf>
    <xf numFmtId="0" fontId="70" fillId="14" borderId="7" xfId="0" applyFont="1" applyFill="1" applyBorder="1" applyAlignment="1">
      <alignment horizontal="center" vertical="center" wrapText="1"/>
    </xf>
    <xf numFmtId="0" fontId="70" fillId="14" borderId="5" xfId="0" applyFont="1" applyFill="1" applyBorder="1" applyAlignment="1">
      <alignment horizontal="center" vertical="center" wrapText="1"/>
    </xf>
    <xf numFmtId="0" fontId="70" fillId="14" borderId="6" xfId="0" applyFont="1" applyFill="1" applyBorder="1" applyAlignment="1">
      <alignment horizontal="center" vertical="center" wrapText="1"/>
    </xf>
    <xf numFmtId="0" fontId="68" fillId="13" borderId="35" xfId="0" applyFont="1" applyFill="1" applyBorder="1" applyAlignment="1">
      <alignment horizontal="center" vertical="center" wrapText="1"/>
    </xf>
    <xf numFmtId="0" fontId="68" fillId="13" borderId="36" xfId="0" applyFont="1" applyFill="1" applyBorder="1" applyAlignment="1">
      <alignment horizontal="center" vertical="center" wrapText="1"/>
    </xf>
    <xf numFmtId="0" fontId="68" fillId="13" borderId="37" xfId="0" applyFont="1" applyFill="1" applyBorder="1" applyAlignment="1">
      <alignment horizontal="center" vertical="center" wrapText="1"/>
    </xf>
    <xf numFmtId="0" fontId="68" fillId="13" borderId="44" xfId="0" applyFont="1" applyFill="1" applyBorder="1" applyAlignment="1">
      <alignment horizontal="center" vertical="center" wrapText="1"/>
    </xf>
    <xf numFmtId="0" fontId="68" fillId="13" borderId="45" xfId="0" applyFont="1" applyFill="1" applyBorder="1" applyAlignment="1">
      <alignment horizontal="center" vertical="center" wrapText="1"/>
    </xf>
    <xf numFmtId="0" fontId="68" fillId="13" borderId="46" xfId="0" applyFont="1" applyFill="1" applyBorder="1" applyAlignment="1">
      <alignment horizontal="center" vertical="center" wrapText="1"/>
    </xf>
    <xf numFmtId="0" fontId="62" fillId="4" borderId="12" xfId="0" applyFont="1" applyFill="1" applyBorder="1" applyAlignment="1">
      <alignment horizontal="right" vertical="center" wrapText="1"/>
    </xf>
    <xf numFmtId="0" fontId="62" fillId="4" borderId="11" xfId="0" applyFont="1" applyFill="1" applyBorder="1" applyAlignment="1">
      <alignment horizontal="right" vertical="center" wrapText="1"/>
    </xf>
    <xf numFmtId="0" fontId="62" fillId="4" borderId="13" xfId="0" applyFont="1" applyFill="1" applyBorder="1" applyAlignment="1">
      <alignment horizontal="right" vertical="center" wrapText="1"/>
    </xf>
    <xf numFmtId="0" fontId="63" fillId="4" borderId="10" xfId="0" applyFont="1" applyFill="1" applyBorder="1" applyAlignment="1">
      <alignment horizontal="center"/>
    </xf>
    <xf numFmtId="0" fontId="63" fillId="4" borderId="11" xfId="0" applyFont="1" applyFill="1" applyBorder="1" applyAlignment="1">
      <alignment horizontal="center"/>
    </xf>
    <xf numFmtId="0" fontId="63" fillId="4" borderId="13" xfId="0" applyFont="1" applyFill="1" applyBorder="1" applyAlignment="1">
      <alignment horizontal="center"/>
    </xf>
    <xf numFmtId="0" fontId="62" fillId="4" borderId="2" xfId="0" applyFont="1" applyFill="1" applyBorder="1" applyAlignment="1">
      <alignment horizontal="right" vertical="center" wrapText="1"/>
    </xf>
    <xf numFmtId="0" fontId="62" fillId="4" borderId="0" xfId="0" applyFont="1" applyFill="1" applyAlignment="1">
      <alignment horizontal="right" vertical="center" wrapText="1"/>
    </xf>
    <xf numFmtId="0" fontId="62" fillId="4" borderId="3" xfId="0" applyFont="1" applyFill="1" applyBorder="1" applyAlignment="1">
      <alignment horizontal="right" vertical="center" wrapText="1"/>
    </xf>
    <xf numFmtId="0" fontId="63" fillId="4" borderId="1" xfId="0" applyFont="1" applyFill="1" applyBorder="1" applyAlignment="1">
      <alignment horizontal="left" vertical="center" wrapText="1"/>
    </xf>
    <xf numFmtId="0" fontId="63" fillId="4" borderId="5" xfId="0" applyFont="1" applyFill="1" applyBorder="1" applyAlignment="1">
      <alignment horizontal="left" vertical="center" wrapText="1"/>
    </xf>
    <xf numFmtId="0" fontId="63" fillId="4" borderId="7" xfId="0" applyFont="1" applyFill="1" applyBorder="1" applyAlignment="1">
      <alignment horizontal="left" vertical="center" wrapText="1"/>
    </xf>
    <xf numFmtId="0" fontId="63" fillId="4" borderId="2" xfId="0" applyFont="1" applyFill="1" applyBorder="1" applyAlignment="1">
      <alignment horizontal="center"/>
    </xf>
    <xf numFmtId="0" fontId="63" fillId="4" borderId="3" xfId="0" applyFont="1" applyFill="1" applyBorder="1" applyAlignment="1">
      <alignment horizontal="center"/>
    </xf>
    <xf numFmtId="0" fontId="63" fillId="4" borderId="8" xfId="0" applyFont="1" applyFill="1" applyBorder="1" applyAlignment="1">
      <alignment horizontal="left" vertical="center" wrapText="1"/>
    </xf>
    <xf numFmtId="0" fontId="63" fillId="4" borderId="12" xfId="0" applyFont="1" applyFill="1" applyBorder="1" applyAlignment="1">
      <alignment horizontal="left" vertical="center" wrapText="1"/>
    </xf>
    <xf numFmtId="0" fontId="63" fillId="4" borderId="10" xfId="0" applyFont="1" applyFill="1" applyBorder="1" applyAlignment="1">
      <alignment horizontal="left" vertical="center" wrapText="1"/>
    </xf>
    <xf numFmtId="0" fontId="63" fillId="4" borderId="13" xfId="0" applyFont="1" applyFill="1" applyBorder="1" applyAlignment="1">
      <alignment horizontal="left" vertical="center" wrapText="1"/>
    </xf>
    <xf numFmtId="0" fontId="62" fillId="4" borderId="5" xfId="0" applyFont="1" applyFill="1" applyBorder="1" applyAlignment="1">
      <alignment horizontal="center" vertical="center" wrapText="1"/>
    </xf>
    <xf numFmtId="0" fontId="62" fillId="4" borderId="7" xfId="0" applyFont="1" applyFill="1" applyBorder="1" applyAlignment="1">
      <alignment horizontal="center" vertical="center" wrapText="1"/>
    </xf>
    <xf numFmtId="0" fontId="62" fillId="4" borderId="6" xfId="0" applyFont="1" applyFill="1" applyBorder="1" applyAlignment="1">
      <alignment horizontal="center" vertical="center" wrapText="1"/>
    </xf>
    <xf numFmtId="0" fontId="61" fillId="4" borderId="8" xfId="0" applyFont="1" applyFill="1" applyBorder="1" applyAlignment="1">
      <alignment horizontal="center" vertical="center" wrapText="1"/>
    </xf>
    <xf numFmtId="0" fontId="61" fillId="4" borderId="9" xfId="0" applyFont="1" applyFill="1" applyBorder="1" applyAlignment="1">
      <alignment horizontal="center" vertical="center" wrapText="1"/>
    </xf>
    <xf numFmtId="0" fontId="46" fillId="13" borderId="22" xfId="0" applyFont="1" applyFill="1" applyBorder="1" applyAlignment="1">
      <alignment horizontal="center"/>
    </xf>
    <xf numFmtId="0" fontId="46" fillId="13" borderId="23" xfId="0" applyFont="1" applyFill="1" applyBorder="1" applyAlignment="1">
      <alignment horizontal="center"/>
    </xf>
    <xf numFmtId="0" fontId="46" fillId="13" borderId="21" xfId="0" applyFont="1" applyFill="1" applyBorder="1" applyAlignment="1">
      <alignment horizontal="center"/>
    </xf>
    <xf numFmtId="0" fontId="46" fillId="13" borderId="1" xfId="0" applyFont="1" applyFill="1" applyBorder="1" applyAlignment="1">
      <alignment horizontal="center"/>
    </xf>
    <xf numFmtId="165" fontId="22" fillId="13" borderId="25" xfId="1" applyNumberFormat="1" applyFont="1" applyFill="1" applyBorder="1" applyAlignment="1">
      <alignment horizontal="center" vertical="center" wrapText="1"/>
    </xf>
    <xf numFmtId="165" fontId="22" fillId="13" borderId="26" xfId="1" applyNumberFormat="1" applyFont="1" applyFill="1" applyBorder="1" applyAlignment="1">
      <alignment horizontal="center" vertical="center"/>
    </xf>
    <xf numFmtId="165" fontId="22" fillId="13" borderId="10" xfId="1" applyNumberFormat="1" applyFont="1" applyFill="1" applyBorder="1" applyAlignment="1">
      <alignment horizontal="center" vertical="center"/>
    </xf>
    <xf numFmtId="165" fontId="22" fillId="13" borderId="27" xfId="1" applyNumberFormat="1" applyFont="1" applyFill="1" applyBorder="1" applyAlignment="1">
      <alignment horizontal="center" vertical="center"/>
    </xf>
    <xf numFmtId="0" fontId="16" fillId="13" borderId="23" xfId="11" applyFont="1" applyFill="1" applyBorder="1" applyAlignment="1">
      <alignment horizontal="center" vertical="center" wrapText="1"/>
    </xf>
    <xf numFmtId="0" fontId="16" fillId="13" borderId="1" xfId="11" applyFont="1" applyFill="1" applyBorder="1" applyAlignment="1">
      <alignment horizontal="center" vertical="center" wrapText="1"/>
    </xf>
    <xf numFmtId="0" fontId="17" fillId="14" borderId="24" xfId="0" applyFont="1" applyFill="1" applyBorder="1" applyAlignment="1">
      <alignment horizontal="center" vertical="center" wrapText="1"/>
    </xf>
    <xf numFmtId="0" fontId="17" fillId="14" borderId="7" xfId="0" applyFont="1" applyFill="1" applyBorder="1" applyAlignment="1">
      <alignment horizontal="center" vertical="center" wrapText="1"/>
    </xf>
    <xf numFmtId="0" fontId="17" fillId="14" borderId="5" xfId="0" applyFont="1" applyFill="1" applyBorder="1" applyAlignment="1">
      <alignment horizontal="center" vertical="center" wrapText="1"/>
    </xf>
    <xf numFmtId="0" fontId="17" fillId="14" borderId="6" xfId="0" applyFont="1" applyFill="1" applyBorder="1" applyAlignment="1">
      <alignment horizontal="center" vertical="center" wrapText="1"/>
    </xf>
    <xf numFmtId="0" fontId="52" fillId="15" borderId="30" xfId="0" applyFont="1" applyFill="1" applyBorder="1" applyAlignment="1">
      <alignment horizontal="center" vertical="center"/>
    </xf>
    <xf numFmtId="0" fontId="52" fillId="15" borderId="31" xfId="0" applyFont="1" applyFill="1" applyBorder="1" applyAlignment="1">
      <alignment horizontal="center" vertical="center"/>
    </xf>
    <xf numFmtId="0" fontId="17" fillId="7" borderId="1" xfId="0" applyFont="1" applyFill="1" applyBorder="1" applyAlignment="1">
      <alignment horizontal="right" vertical="center" wrapText="1"/>
    </xf>
    <xf numFmtId="0" fontId="17" fillId="14" borderId="12" xfId="0" applyFont="1" applyFill="1" applyBorder="1" applyAlignment="1">
      <alignment horizontal="center" vertical="center" wrapText="1"/>
    </xf>
    <xf numFmtId="0" fontId="17" fillId="14" borderId="3" xfId="0" applyFont="1" applyFill="1" applyBorder="1" applyAlignment="1">
      <alignment horizontal="center" vertical="center" wrapText="1"/>
    </xf>
    <xf numFmtId="0" fontId="17" fillId="14" borderId="13" xfId="0" applyFont="1" applyFill="1" applyBorder="1" applyAlignment="1">
      <alignment horizontal="center" vertical="center" wrapText="1"/>
    </xf>
    <xf numFmtId="0" fontId="52" fillId="15" borderId="29" xfId="0" applyFont="1" applyFill="1" applyBorder="1" applyAlignment="1">
      <alignment horizontal="center" vertical="center" wrapText="1"/>
    </xf>
    <xf numFmtId="0" fontId="52" fillId="15" borderId="32" xfId="0" applyFont="1" applyFill="1" applyBorder="1" applyAlignment="1">
      <alignment horizontal="center" vertical="center" wrapText="1"/>
    </xf>
    <xf numFmtId="165" fontId="7" fillId="4" borderId="1" xfId="1" applyNumberFormat="1" applyFont="1" applyFill="1" applyBorder="1" applyAlignment="1">
      <alignment horizontal="center" vertical="center" wrapText="1"/>
    </xf>
    <xf numFmtId="165" fontId="7" fillId="4" borderId="1" xfId="1" applyNumberFormat="1" applyFont="1" applyFill="1" applyBorder="1" applyAlignment="1">
      <alignment horizontal="center" vertical="center"/>
    </xf>
    <xf numFmtId="0" fontId="12" fillId="4" borderId="1" xfId="0" applyFont="1" applyFill="1" applyBorder="1" applyAlignment="1">
      <alignment horizontal="center" vertical="center" wrapText="1"/>
    </xf>
    <xf numFmtId="0" fontId="12" fillId="4" borderId="1" xfId="0" applyFont="1" applyFill="1" applyBorder="1" applyAlignment="1">
      <alignment horizontal="right" vertical="center" wrapText="1"/>
    </xf>
    <xf numFmtId="0" fontId="18" fillId="4" borderId="1" xfId="0" applyFont="1" applyFill="1" applyBorder="1" applyAlignment="1">
      <alignment horizontal="right" vertical="center" wrapText="1"/>
    </xf>
    <xf numFmtId="0" fontId="18" fillId="4" borderId="9" xfId="0" applyFont="1" applyFill="1" applyBorder="1" applyAlignment="1">
      <alignment horizontal="center" vertical="center" wrapText="1"/>
    </xf>
    <xf numFmtId="0" fontId="18" fillId="4" borderId="0" xfId="0" applyFont="1" applyFill="1" applyAlignment="1">
      <alignment horizontal="center" vertical="center" wrapText="1"/>
    </xf>
    <xf numFmtId="0" fontId="44" fillId="4" borderId="22" xfId="0" applyFont="1" applyFill="1" applyBorder="1" applyAlignment="1">
      <alignment horizontal="center"/>
    </xf>
    <xf numFmtId="0" fontId="44" fillId="4" borderId="23" xfId="0" applyFont="1" applyFill="1" applyBorder="1" applyAlignment="1">
      <alignment horizontal="center"/>
    </xf>
    <xf numFmtId="0" fontId="44" fillId="4" borderId="21" xfId="0" applyFont="1" applyFill="1" applyBorder="1" applyAlignment="1">
      <alignment horizontal="center"/>
    </xf>
    <xf numFmtId="0" fontId="44" fillId="4" borderId="1" xfId="0" applyFont="1" applyFill="1" applyBorder="1" applyAlignment="1">
      <alignment horizontal="center"/>
    </xf>
    <xf numFmtId="165" fontId="101" fillId="4" borderId="25" xfId="1" applyNumberFormat="1" applyFont="1" applyFill="1" applyBorder="1" applyAlignment="1">
      <alignment horizontal="center" vertical="center"/>
    </xf>
    <xf numFmtId="165" fontId="101" fillId="4" borderId="26" xfId="1" applyNumberFormat="1" applyFont="1" applyFill="1" applyBorder="1" applyAlignment="1">
      <alignment horizontal="center" vertical="center"/>
    </xf>
    <xf numFmtId="165" fontId="101" fillId="4" borderId="10" xfId="1" applyNumberFormat="1" applyFont="1" applyFill="1" applyBorder="1" applyAlignment="1">
      <alignment horizontal="center" vertical="center"/>
    </xf>
    <xf numFmtId="165" fontId="101" fillId="4" borderId="27" xfId="1" applyNumberFormat="1" applyFont="1" applyFill="1" applyBorder="1" applyAlignment="1">
      <alignment horizontal="center" vertical="center"/>
    </xf>
    <xf numFmtId="0" fontId="100" fillId="4" borderId="23" xfId="11" applyFont="1" applyFill="1" applyBorder="1" applyAlignment="1">
      <alignment horizontal="center" vertical="center" wrapText="1"/>
    </xf>
    <xf numFmtId="0" fontId="100" fillId="4" borderId="1" xfId="11" applyFont="1" applyFill="1" applyBorder="1" applyAlignment="1">
      <alignment horizontal="center" vertical="center" wrapText="1"/>
    </xf>
    <xf numFmtId="0" fontId="100" fillId="4" borderId="24" xfId="0" applyFont="1" applyFill="1" applyBorder="1" applyAlignment="1">
      <alignment horizontal="center" vertical="center" wrapText="1"/>
    </xf>
    <xf numFmtId="0" fontId="100" fillId="4" borderId="7" xfId="0" applyFont="1" applyFill="1" applyBorder="1" applyAlignment="1">
      <alignment horizontal="center" vertical="center" wrapText="1"/>
    </xf>
    <xf numFmtId="0" fontId="100" fillId="4" borderId="5" xfId="0" applyFont="1" applyFill="1" applyBorder="1" applyAlignment="1">
      <alignment horizontal="center" vertical="center" wrapText="1"/>
    </xf>
    <xf numFmtId="0" fontId="100" fillId="4" borderId="6" xfId="0" applyFont="1" applyFill="1" applyBorder="1" applyAlignment="1">
      <alignment horizontal="center" vertical="center" wrapText="1"/>
    </xf>
    <xf numFmtId="176" fontId="19" fillId="4" borderId="5" xfId="3" applyNumberFormat="1" applyFont="1" applyFill="1" applyBorder="1" applyAlignment="1">
      <alignment horizontal="center" vertical="center" wrapText="1"/>
    </xf>
    <xf numFmtId="176" fontId="19" fillId="4" borderId="6" xfId="3" applyNumberFormat="1" applyFont="1" applyFill="1" applyBorder="1" applyAlignment="1">
      <alignment horizontal="center" vertical="center" wrapText="1"/>
    </xf>
    <xf numFmtId="176" fontId="19" fillId="4" borderId="7" xfId="3" applyNumberFormat="1" applyFont="1" applyFill="1" applyBorder="1" applyAlignment="1">
      <alignment horizontal="center" vertical="center" wrapText="1"/>
    </xf>
    <xf numFmtId="166" fontId="7" fillId="4" borderId="8" xfId="0" applyNumberFormat="1" applyFont="1" applyFill="1" applyBorder="1" applyAlignment="1">
      <alignment horizontal="center" vertical="center" wrapText="1"/>
    </xf>
    <xf numFmtId="166" fontId="7" fillId="4" borderId="12" xfId="0" applyNumberFormat="1" applyFont="1" applyFill="1" applyBorder="1" applyAlignment="1">
      <alignment horizontal="center" vertical="center" wrapText="1"/>
    </xf>
    <xf numFmtId="166" fontId="7" fillId="4" borderId="2" xfId="0" applyNumberFormat="1" applyFont="1" applyFill="1" applyBorder="1" applyAlignment="1">
      <alignment horizontal="center" vertical="center" wrapText="1"/>
    </xf>
    <xf numFmtId="166" fontId="7" fillId="4" borderId="3" xfId="0" applyNumberFormat="1" applyFont="1" applyFill="1" applyBorder="1" applyAlignment="1">
      <alignment horizontal="center" vertical="center" wrapText="1"/>
    </xf>
    <xf numFmtId="166" fontId="7" fillId="4" borderId="10" xfId="0" applyNumberFormat="1" applyFont="1" applyFill="1" applyBorder="1" applyAlignment="1">
      <alignment horizontal="center" vertical="center" wrapText="1"/>
    </xf>
    <xf numFmtId="166" fontId="7" fillId="4" borderId="13" xfId="0" applyNumberFormat="1" applyFont="1" applyFill="1" applyBorder="1" applyAlignment="1">
      <alignment horizontal="center" vertical="center" wrapText="1"/>
    </xf>
    <xf numFmtId="166" fontId="7" fillId="4" borderId="9" xfId="0" applyNumberFormat="1" applyFont="1" applyFill="1" applyBorder="1" applyAlignment="1">
      <alignment horizontal="center" vertical="center" wrapText="1"/>
    </xf>
    <xf numFmtId="166" fontId="7" fillId="4" borderId="0" xfId="0" applyNumberFormat="1" applyFont="1" applyFill="1" applyAlignment="1">
      <alignment horizontal="center" vertical="center" wrapText="1"/>
    </xf>
    <xf numFmtId="166" fontId="7" fillId="4" borderId="11" xfId="0" applyNumberFormat="1" applyFont="1" applyFill="1" applyBorder="1" applyAlignment="1">
      <alignment horizontal="center" vertical="center" wrapText="1"/>
    </xf>
    <xf numFmtId="0" fontId="6" fillId="0" borderId="0" xfId="0" applyFont="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vertical="center"/>
    </xf>
    <xf numFmtId="43" fontId="9" fillId="4" borderId="1" xfId="1" applyFont="1" applyFill="1" applyBorder="1" applyAlignment="1">
      <alignment vertical="center"/>
    </xf>
    <xf numFmtId="167" fontId="9" fillId="4" borderId="1" xfId="1" applyNumberFormat="1" applyFont="1" applyFill="1" applyBorder="1" applyAlignment="1">
      <alignment vertical="center"/>
    </xf>
    <xf numFmtId="0" fontId="12" fillId="4" borderId="1" xfId="0" applyFont="1" applyFill="1" applyBorder="1" applyAlignment="1">
      <alignment horizontal="center" vertical="center"/>
    </xf>
    <xf numFmtId="0" fontId="25" fillId="4" borderId="1" xfId="0" applyFont="1" applyFill="1" applyBorder="1" applyAlignment="1">
      <alignment horizontal="center"/>
    </xf>
    <xf numFmtId="0" fontId="7" fillId="4" borderId="8"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9"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0" xfId="0" applyFont="1" applyFill="1" applyAlignment="1">
      <alignment horizontal="center" vertical="center"/>
    </xf>
    <xf numFmtId="0" fontId="7" fillId="4" borderId="3"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3"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14" xfId="0" applyFont="1" applyFill="1" applyBorder="1" applyAlignment="1">
      <alignment horizontal="center" vertical="center" wrapText="1"/>
    </xf>
    <xf numFmtId="0" fontId="9" fillId="4" borderId="14"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12" fillId="4" borderId="21" xfId="0" applyFont="1" applyFill="1" applyBorder="1" applyAlignment="1">
      <alignment horizontal="center" vertical="center"/>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6" fillId="4" borderId="1" xfId="0" applyFont="1" applyFill="1" applyBorder="1" applyAlignment="1">
      <alignment horizontal="center"/>
    </xf>
    <xf numFmtId="0" fontId="39" fillId="4" borderId="8" xfId="0" applyFont="1" applyFill="1" applyBorder="1" applyAlignment="1">
      <alignment horizontal="center" vertical="center" wrapText="1"/>
    </xf>
    <xf numFmtId="0" fontId="39" fillId="4" borderId="9" xfId="0" applyFont="1" applyFill="1" applyBorder="1" applyAlignment="1">
      <alignment horizontal="center" vertical="center"/>
    </xf>
    <xf numFmtId="0" fontId="39" fillId="4" borderId="12" xfId="0" applyFont="1" applyFill="1" applyBorder="1" applyAlignment="1">
      <alignment horizontal="center" vertical="center"/>
    </xf>
    <xf numFmtId="0" fontId="39" fillId="4" borderId="2" xfId="0" applyFont="1" applyFill="1" applyBorder="1" applyAlignment="1">
      <alignment horizontal="center" vertical="center"/>
    </xf>
    <xf numFmtId="0" fontId="39" fillId="4" borderId="0" xfId="0" applyFont="1" applyFill="1" applyAlignment="1">
      <alignment horizontal="center" vertical="center"/>
    </xf>
    <xf numFmtId="0" fontId="39" fillId="4" borderId="3" xfId="0" applyFont="1" applyFill="1" applyBorder="1" applyAlignment="1">
      <alignment horizontal="center" vertical="center"/>
    </xf>
    <xf numFmtId="0" fontId="39" fillId="4" borderId="10" xfId="0" applyFont="1" applyFill="1" applyBorder="1" applyAlignment="1">
      <alignment horizontal="center" vertical="center"/>
    </xf>
    <xf numFmtId="0" fontId="39" fillId="4" borderId="11" xfId="0" applyFont="1" applyFill="1" applyBorder="1" applyAlignment="1">
      <alignment horizontal="center" vertical="center"/>
    </xf>
    <xf numFmtId="0" fontId="39" fillId="4" borderId="13"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25" fillId="4" borderId="8" xfId="0" applyFont="1" applyFill="1" applyBorder="1" applyAlignment="1">
      <alignment horizontal="center"/>
    </xf>
    <xf numFmtId="0" fontId="25" fillId="4" borderId="12" xfId="0" applyFont="1" applyFill="1" applyBorder="1" applyAlignment="1">
      <alignment horizontal="center"/>
    </xf>
    <xf numFmtId="0" fontId="25" fillId="4" borderId="2" xfId="0" applyFont="1" applyFill="1" applyBorder="1" applyAlignment="1">
      <alignment horizontal="center"/>
    </xf>
    <xf numFmtId="0" fontId="25" fillId="4" borderId="3" xfId="0" applyFont="1" applyFill="1" applyBorder="1" applyAlignment="1">
      <alignment horizontal="center"/>
    </xf>
    <xf numFmtId="0" fontId="25" fillId="4" borderId="10" xfId="0" applyFont="1" applyFill="1" applyBorder="1" applyAlignment="1">
      <alignment horizontal="center"/>
    </xf>
    <xf numFmtId="0" fontId="25" fillId="4" borderId="13" xfId="0" applyFont="1" applyFill="1" applyBorder="1" applyAlignment="1">
      <alignment horizontal="center"/>
    </xf>
    <xf numFmtId="0" fontId="7" fillId="4" borderId="9"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11" xfId="0" applyFont="1" applyFill="1" applyBorder="1" applyAlignment="1">
      <alignment horizontal="center" vertical="center" wrapText="1"/>
    </xf>
    <xf numFmtId="0" fontId="9" fillId="4" borderId="5" xfId="0" applyFont="1" applyFill="1" applyBorder="1" applyAlignment="1">
      <alignment horizontal="center"/>
    </xf>
    <xf numFmtId="0" fontId="9" fillId="4" borderId="7" xfId="0" applyFont="1" applyFill="1" applyBorder="1" applyAlignment="1">
      <alignment horizontal="center"/>
    </xf>
    <xf numFmtId="0" fontId="9" fillId="4" borderId="6" xfId="0" applyFont="1" applyFill="1" applyBorder="1" applyAlignment="1">
      <alignment horizontal="center"/>
    </xf>
    <xf numFmtId="0" fontId="9" fillId="4" borderId="5" xfId="0" quotePrefix="1" applyFont="1" applyFill="1" applyBorder="1" applyAlignment="1">
      <alignment horizontal="center"/>
    </xf>
    <xf numFmtId="0" fontId="12" fillId="4" borderId="5" xfId="0" applyFont="1" applyFill="1" applyBorder="1" applyAlignment="1">
      <alignment horizontal="center" vertical="center"/>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9" fillId="4" borderId="4" xfId="0" applyFont="1" applyFill="1" applyBorder="1" applyAlignment="1">
      <alignment horizontal="center" vertical="center" wrapText="1"/>
    </xf>
    <xf numFmtId="0" fontId="9" fillId="4" borderId="8" xfId="0" applyFont="1" applyFill="1" applyBorder="1" applyAlignment="1">
      <alignment horizontal="center" vertical="center"/>
    </xf>
    <xf numFmtId="0" fontId="9" fillId="4" borderId="12" xfId="0" applyFont="1" applyFill="1" applyBorder="1" applyAlignment="1">
      <alignment horizontal="center" vertical="center"/>
    </xf>
    <xf numFmtId="0" fontId="12" fillId="4" borderId="0" xfId="0" applyFont="1" applyFill="1" applyAlignment="1">
      <alignment horizontal="left"/>
    </xf>
    <xf numFmtId="0" fontId="25" fillId="4" borderId="9" xfId="0" applyFont="1" applyFill="1" applyBorder="1" applyAlignment="1">
      <alignment horizontal="center"/>
    </xf>
    <xf numFmtId="0" fontId="25" fillId="4" borderId="0" xfId="0" applyFont="1" applyFill="1" applyAlignment="1">
      <alignment horizontal="center"/>
    </xf>
    <xf numFmtId="0" fontId="25" fillId="4" borderId="11" xfId="0" applyFont="1" applyFill="1" applyBorder="1" applyAlignment="1">
      <alignment horizontal="center"/>
    </xf>
    <xf numFmtId="0" fontId="12" fillId="4" borderId="8" xfId="0" applyFont="1" applyFill="1" applyBorder="1" applyAlignment="1">
      <alignment horizontal="center"/>
    </xf>
    <xf numFmtId="0" fontId="12" fillId="4" borderId="9" xfId="0" applyFont="1" applyFill="1" applyBorder="1" applyAlignment="1">
      <alignment horizontal="center"/>
    </xf>
    <xf numFmtId="0" fontId="12" fillId="4" borderId="12" xfId="0" applyFont="1" applyFill="1" applyBorder="1" applyAlignment="1">
      <alignment horizontal="center"/>
    </xf>
    <xf numFmtId="0" fontId="9" fillId="4" borderId="0" xfId="0" applyFont="1" applyFill="1" applyAlignment="1">
      <alignment horizontal="center"/>
    </xf>
    <xf numFmtId="0" fontId="12" fillId="4" borderId="0" xfId="0" applyFont="1" applyFill="1" applyAlignment="1">
      <alignment horizontal="center" vertical="center"/>
    </xf>
    <xf numFmtId="0" fontId="9" fillId="4" borderId="0" xfId="0" applyFont="1" applyFill="1" applyAlignment="1">
      <alignment horizontal="center" wrapText="1"/>
    </xf>
    <xf numFmtId="0" fontId="39" fillId="4" borderId="1"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3"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4" borderId="13" xfId="0" applyFont="1" applyFill="1" applyBorder="1" applyAlignment="1">
      <alignment horizontal="center" vertical="center" wrapText="1"/>
    </xf>
    <xf numFmtId="167" fontId="9" fillId="4" borderId="1" xfId="1" applyNumberFormat="1" applyFont="1" applyFill="1" applyBorder="1" applyAlignment="1">
      <alignment horizontal="center" vertical="center"/>
    </xf>
    <xf numFmtId="0" fontId="25" fillId="0" borderId="0" xfId="0" applyFont="1" applyAlignment="1">
      <alignment horizontal="center" vertical="center"/>
    </xf>
    <xf numFmtId="0" fontId="9" fillId="4" borderId="2" xfId="0" applyFont="1" applyFill="1" applyBorder="1" applyAlignment="1">
      <alignment horizontal="center"/>
    </xf>
    <xf numFmtId="0" fontId="9" fillId="4" borderId="3" xfId="0" applyFont="1" applyFill="1" applyBorder="1" applyAlignment="1">
      <alignment horizontal="center"/>
    </xf>
    <xf numFmtId="0" fontId="12" fillId="4" borderId="4" xfId="0" applyFont="1" applyFill="1" applyBorder="1" applyAlignment="1">
      <alignment horizontal="center" vertical="center"/>
    </xf>
    <xf numFmtId="0" fontId="12" fillId="4" borderId="16" xfId="0" applyFont="1" applyFill="1" applyBorder="1" applyAlignment="1">
      <alignment horizontal="center" vertical="center" wrapText="1"/>
    </xf>
    <xf numFmtId="0" fontId="43" fillId="4" borderId="4" xfId="0" applyFont="1" applyFill="1" applyBorder="1" applyAlignment="1">
      <alignment horizontal="center" vertical="center" wrapText="1"/>
    </xf>
    <xf numFmtId="0" fontId="43" fillId="4" borderId="14" xfId="0" applyFont="1" applyFill="1" applyBorder="1" applyAlignment="1">
      <alignment horizontal="center" vertical="center" wrapText="1"/>
    </xf>
    <xf numFmtId="0" fontId="9" fillId="4" borderId="1" xfId="0" quotePrefix="1" applyFont="1" applyFill="1" applyBorder="1" applyAlignment="1">
      <alignment horizontal="center" vertical="center" wrapText="1"/>
    </xf>
    <xf numFmtId="0" fontId="40" fillId="4" borderId="5" xfId="0" applyFont="1" applyFill="1" applyBorder="1" applyAlignment="1">
      <alignment horizontal="center" vertical="center" wrapText="1"/>
    </xf>
    <xf numFmtId="0" fontId="40" fillId="4" borderId="6" xfId="0" applyFont="1" applyFill="1" applyBorder="1" applyAlignment="1">
      <alignment horizontal="center" vertical="center" wrapText="1"/>
    </xf>
    <xf numFmtId="0" fontId="40" fillId="4" borderId="7" xfId="0" applyFont="1" applyFill="1" applyBorder="1" applyAlignment="1">
      <alignment horizontal="center" vertical="center" wrapText="1"/>
    </xf>
    <xf numFmtId="0" fontId="25" fillId="4" borderId="5" xfId="0" applyFont="1" applyFill="1" applyBorder="1" applyAlignment="1">
      <alignment horizontal="center"/>
    </xf>
    <xf numFmtId="0" fontId="25" fillId="4" borderId="6" xfId="0" applyFont="1" applyFill="1" applyBorder="1" applyAlignment="1">
      <alignment horizontal="center"/>
    </xf>
    <xf numFmtId="0" fontId="25" fillId="4" borderId="7" xfId="0" applyFont="1" applyFill="1" applyBorder="1" applyAlignment="1">
      <alignment horizontal="center"/>
    </xf>
    <xf numFmtId="0" fontId="25" fillId="4" borderId="0" xfId="0" applyFont="1" applyFill="1" applyAlignment="1">
      <alignment horizontal="center" vertical="center"/>
    </xf>
    <xf numFmtId="0" fontId="42" fillId="4" borderId="1"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40" fillId="4" borderId="4" xfId="0" applyFont="1" applyFill="1" applyBorder="1" applyAlignment="1">
      <alignment horizontal="center" vertical="center" wrapText="1"/>
    </xf>
    <xf numFmtId="0" fontId="40" fillId="4" borderId="14" xfId="0" applyFont="1" applyFill="1" applyBorder="1" applyAlignment="1">
      <alignment horizontal="center" vertical="center" wrapText="1"/>
    </xf>
    <xf numFmtId="0" fontId="38" fillId="4" borderId="1" xfId="0" applyFont="1" applyFill="1" applyBorder="1" applyAlignment="1">
      <alignment horizontal="center"/>
    </xf>
    <xf numFmtId="0" fontId="9" fillId="4" borderId="10" xfId="0" quotePrefix="1" applyFont="1" applyFill="1" applyBorder="1" applyAlignment="1">
      <alignment horizontal="center"/>
    </xf>
    <xf numFmtId="0" fontId="9" fillId="4" borderId="11" xfId="0" applyFont="1" applyFill="1" applyBorder="1" applyAlignment="1">
      <alignment horizontal="center"/>
    </xf>
    <xf numFmtId="0" fontId="9" fillId="4" borderId="13" xfId="0" applyFont="1" applyFill="1" applyBorder="1" applyAlignment="1">
      <alignment horizontal="center"/>
    </xf>
    <xf numFmtId="0" fontId="9" fillId="4" borderId="16" xfId="0" applyFont="1" applyFill="1" applyBorder="1" applyAlignment="1">
      <alignment horizontal="center" vertical="center" wrapText="1"/>
    </xf>
    <xf numFmtId="0" fontId="7" fillId="4" borderId="1" xfId="0" applyFont="1" applyFill="1" applyBorder="1" applyAlignment="1">
      <alignment horizontal="center" vertical="center"/>
    </xf>
    <xf numFmtId="0" fontId="37" fillId="4" borderId="1" xfId="0" applyFont="1" applyFill="1" applyBorder="1" applyAlignment="1">
      <alignment horizont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2" xfId="0" quotePrefix="1" applyFont="1" applyFill="1" applyBorder="1" applyAlignment="1">
      <alignment horizontal="center" vertical="center"/>
    </xf>
    <xf numFmtId="0" fontId="9" fillId="8" borderId="4"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8" borderId="14" xfId="0" applyFont="1" applyFill="1" applyBorder="1" applyAlignment="1">
      <alignment horizontal="center" vertical="center" wrapText="1"/>
    </xf>
    <xf numFmtId="0" fontId="12" fillId="4" borderId="14" xfId="0" applyFont="1" applyFill="1" applyBorder="1" applyAlignment="1">
      <alignment horizontal="center" vertical="center"/>
    </xf>
    <xf numFmtId="0" fontId="12" fillId="4" borderId="16" xfId="0" applyFont="1" applyFill="1" applyBorder="1" applyAlignment="1">
      <alignment horizontal="center" vertical="center"/>
    </xf>
    <xf numFmtId="0" fontId="6" fillId="4" borderId="0" xfId="0" applyFont="1" applyFill="1" applyAlignment="1">
      <alignment horizontal="center" vertical="center"/>
    </xf>
    <xf numFmtId="10" fontId="9" fillId="4" borderId="1" xfId="0" applyNumberFormat="1" applyFont="1" applyFill="1" applyBorder="1" applyAlignment="1">
      <alignment horizontal="center" vertical="center"/>
    </xf>
    <xf numFmtId="0" fontId="9" fillId="4" borderId="1" xfId="0" quotePrefix="1" applyFont="1" applyFill="1" applyBorder="1" applyAlignment="1">
      <alignment horizontal="center" wrapText="1"/>
    </xf>
    <xf numFmtId="0" fontId="9" fillId="4" borderId="1" xfId="0" applyFont="1" applyFill="1" applyBorder="1" applyAlignment="1">
      <alignment horizontal="center" wrapText="1"/>
    </xf>
    <xf numFmtId="9" fontId="9" fillId="4" borderId="1" xfId="0" applyNumberFormat="1" applyFont="1" applyFill="1" applyBorder="1" applyAlignment="1">
      <alignment horizontal="center" vertical="center"/>
    </xf>
    <xf numFmtId="0" fontId="29" fillId="4" borderId="1" xfId="0" applyFont="1" applyFill="1" applyBorder="1" applyAlignment="1">
      <alignment horizontal="center"/>
    </xf>
    <xf numFmtId="0" fontId="9" fillId="4" borderId="2" xfId="0" quotePrefix="1" applyFont="1" applyFill="1" applyBorder="1" applyAlignment="1">
      <alignment horizontal="left" vertical="center" wrapText="1"/>
    </xf>
    <xf numFmtId="0" fontId="9" fillId="4" borderId="0" xfId="0" applyFont="1" applyFill="1" applyAlignment="1">
      <alignment horizontal="left" vertical="center" wrapText="1"/>
    </xf>
    <xf numFmtId="0" fontId="9" fillId="4" borderId="3" xfId="0" applyFont="1" applyFill="1" applyBorder="1" applyAlignment="1">
      <alignment horizontal="left" vertical="center" wrapText="1"/>
    </xf>
    <xf numFmtId="165" fontId="12" fillId="4" borderId="1" xfId="1" applyNumberFormat="1" applyFont="1" applyFill="1" applyBorder="1" applyAlignment="1">
      <alignment horizontal="center" vertical="center" wrapText="1"/>
    </xf>
    <xf numFmtId="2" fontId="9" fillId="4" borderId="1" xfId="0" applyNumberFormat="1" applyFont="1" applyFill="1" applyBorder="1" applyAlignment="1">
      <alignment horizontal="center" vertical="center" wrapText="1"/>
    </xf>
    <xf numFmtId="173" fontId="12" fillId="4" borderId="1" xfId="1" applyNumberFormat="1" applyFont="1" applyFill="1" applyBorder="1" applyAlignment="1">
      <alignment horizontal="center" vertical="center" wrapText="1"/>
    </xf>
    <xf numFmtId="43" fontId="9" fillId="4" borderId="1" xfId="1" applyFont="1" applyFill="1" applyBorder="1" applyAlignment="1">
      <alignment horizontal="center" vertical="center" wrapText="1"/>
    </xf>
    <xf numFmtId="0" fontId="25" fillId="4" borderId="1" xfId="0" applyFont="1" applyFill="1" applyBorder="1" applyAlignment="1">
      <alignment horizontal="center" vertical="center"/>
    </xf>
    <xf numFmtId="165" fontId="9" fillId="4" borderId="1" xfId="1"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0" fontId="23" fillId="0" borderId="5" xfId="0" applyFont="1" applyBorder="1" applyAlignment="1">
      <alignment horizontal="left" vertical="center"/>
    </xf>
    <xf numFmtId="0" fontId="23" fillId="0" borderId="6" xfId="0" applyFont="1" applyBorder="1" applyAlignment="1">
      <alignment horizontal="left" vertical="center"/>
    </xf>
    <xf numFmtId="0" fontId="23" fillId="0" borderId="7" xfId="0" applyFont="1" applyBorder="1" applyAlignment="1">
      <alignment horizontal="left" vertical="center"/>
    </xf>
    <xf numFmtId="0" fontId="23" fillId="12" borderId="1" xfId="0" applyFont="1" applyFill="1" applyBorder="1" applyAlignment="1">
      <alignment horizontal="center" vertical="center" wrapText="1"/>
    </xf>
    <xf numFmtId="0" fontId="23" fillId="12" borderId="4" xfId="0" applyFont="1" applyFill="1" applyBorder="1" applyAlignment="1">
      <alignment horizontal="center" vertical="center" wrapText="1"/>
    </xf>
    <xf numFmtId="0" fontId="23" fillId="12" borderId="16" xfId="0" applyFont="1" applyFill="1" applyBorder="1" applyAlignment="1">
      <alignment horizontal="center" vertical="center" wrapText="1"/>
    </xf>
    <xf numFmtId="0" fontId="23" fillId="12" borderId="14" xfId="0" applyFont="1" applyFill="1" applyBorder="1" applyAlignment="1">
      <alignment horizontal="center" vertical="center" wrapText="1"/>
    </xf>
    <xf numFmtId="0" fontId="9" fillId="4" borderId="1" xfId="11" applyFont="1" applyFill="1" applyBorder="1" applyAlignment="1">
      <alignment horizontal="left" vertical="center" wrapText="1"/>
    </xf>
    <xf numFmtId="0" fontId="9" fillId="4" borderId="17" xfId="11" applyFont="1" applyFill="1" applyBorder="1" applyAlignment="1">
      <alignment horizontal="center" vertical="center" wrapText="1"/>
    </xf>
    <xf numFmtId="0" fontId="9" fillId="4" borderId="18" xfId="11" applyFont="1" applyFill="1" applyBorder="1" applyAlignment="1">
      <alignment horizontal="center" vertical="center" wrapText="1"/>
    </xf>
    <xf numFmtId="0" fontId="9" fillId="4" borderId="18" xfId="11" applyFont="1" applyFill="1" applyBorder="1" applyAlignment="1">
      <alignment horizontal="left" vertical="center" wrapText="1"/>
    </xf>
    <xf numFmtId="0" fontId="9" fillId="4" borderId="20" xfId="11" applyFont="1" applyFill="1" applyBorder="1" applyAlignment="1">
      <alignment horizontal="left" vertical="center" wrapText="1"/>
    </xf>
    <xf numFmtId="0" fontId="9" fillId="4" borderId="4" xfId="11" applyFont="1" applyFill="1" applyBorder="1" applyAlignment="1">
      <alignment horizontal="center" vertical="center" wrapText="1"/>
    </xf>
    <xf numFmtId="0" fontId="9" fillId="4" borderId="16" xfId="11" applyFont="1" applyFill="1" applyBorder="1" applyAlignment="1">
      <alignment horizontal="center" vertical="center" wrapText="1"/>
    </xf>
    <xf numFmtId="0" fontId="9" fillId="4" borderId="14" xfId="11" applyFont="1" applyFill="1" applyBorder="1" applyAlignment="1">
      <alignment horizontal="center" vertical="center" wrapText="1"/>
    </xf>
    <xf numFmtId="3" fontId="7" fillId="4" borderId="5" xfId="0" applyNumberFormat="1" applyFont="1" applyFill="1" applyBorder="1" applyAlignment="1">
      <alignment horizontal="center" vertical="center" wrapText="1"/>
    </xf>
    <xf numFmtId="3" fontId="7" fillId="4" borderId="7" xfId="0" applyNumberFormat="1" applyFont="1" applyFill="1" applyBorder="1" applyAlignment="1">
      <alignment horizontal="center" vertical="center" wrapText="1"/>
    </xf>
    <xf numFmtId="2" fontId="9" fillId="4" borderId="5" xfId="0" applyNumberFormat="1" applyFont="1" applyFill="1" applyBorder="1" applyAlignment="1">
      <alignment horizontal="center" vertical="center" wrapText="1"/>
    </xf>
    <xf numFmtId="2" fontId="9" fillId="4"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9" fillId="4" borderId="5" xfId="0" quotePrefix="1"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3" xfId="0" applyFont="1" applyFill="1" applyBorder="1" applyAlignment="1">
      <alignment horizontal="center" vertical="center"/>
    </xf>
    <xf numFmtId="0" fontId="25" fillId="4" borderId="1" xfId="11" applyFont="1" applyFill="1" applyBorder="1" applyAlignment="1">
      <alignment horizontal="center" vertical="center" wrapText="1"/>
    </xf>
    <xf numFmtId="0" fontId="7" fillId="4" borderId="7" xfId="0" applyFont="1" applyFill="1" applyBorder="1" applyAlignment="1">
      <alignment horizontal="center" vertical="center" wrapText="1"/>
    </xf>
    <xf numFmtId="0" fontId="9" fillId="4" borderId="0" xfId="0" quotePrefix="1" applyFont="1" applyFill="1" applyAlignment="1">
      <alignment horizontal="left" vertical="center" wrapText="1"/>
    </xf>
    <xf numFmtId="0" fontId="15" fillId="6" borderId="1" xfId="11" applyFont="1" applyFill="1" applyBorder="1" applyAlignment="1">
      <alignment horizontal="center" vertical="center" wrapText="1"/>
    </xf>
    <xf numFmtId="0" fontId="16" fillId="6" borderId="8" xfId="11" applyFont="1" applyFill="1" applyBorder="1" applyAlignment="1">
      <alignment horizontal="center" vertical="center" wrapText="1"/>
    </xf>
    <xf numFmtId="0" fontId="16" fillId="6" borderId="9" xfId="11" applyFont="1" applyFill="1" applyBorder="1" applyAlignment="1">
      <alignment horizontal="center" vertical="center" wrapText="1"/>
    </xf>
    <xf numFmtId="0" fontId="16" fillId="6" borderId="12" xfId="11" applyFont="1" applyFill="1" applyBorder="1" applyAlignment="1">
      <alignment horizontal="center" vertical="center" wrapText="1"/>
    </xf>
    <xf numFmtId="0" fontId="16" fillId="6" borderId="2" xfId="11" applyFont="1" applyFill="1" applyBorder="1" applyAlignment="1">
      <alignment horizontal="center" vertical="center" wrapText="1"/>
    </xf>
    <xf numFmtId="0" fontId="16" fillId="6" borderId="0" xfId="11" applyFont="1" applyFill="1" applyAlignment="1">
      <alignment horizontal="center" vertical="center" wrapText="1"/>
    </xf>
    <xf numFmtId="0" fontId="16" fillId="6" borderId="3" xfId="11" applyFont="1" applyFill="1" applyBorder="1" applyAlignment="1">
      <alignment horizontal="center" vertical="center" wrapText="1"/>
    </xf>
    <xf numFmtId="0" fontId="16" fillId="6" borderId="10" xfId="11" applyFont="1" applyFill="1" applyBorder="1" applyAlignment="1">
      <alignment horizontal="center" vertical="center" wrapText="1"/>
    </xf>
    <xf numFmtId="0" fontId="16" fillId="6" borderId="11" xfId="11" applyFont="1" applyFill="1" applyBorder="1" applyAlignment="1">
      <alignment horizontal="center" vertical="center" wrapText="1"/>
    </xf>
    <xf numFmtId="0" fontId="16" fillId="6" borderId="13" xfId="11" applyFont="1" applyFill="1" applyBorder="1" applyAlignment="1">
      <alignment horizontal="center" vertical="center" wrapText="1"/>
    </xf>
    <xf numFmtId="0" fontId="22" fillId="6" borderId="1" xfId="11" applyFont="1" applyFill="1" applyBorder="1" applyAlignment="1">
      <alignment horizontal="center" vertical="center" wrapText="1"/>
    </xf>
    <xf numFmtId="169" fontId="12" fillId="8" borderId="5" xfId="0" applyNumberFormat="1" applyFont="1" applyFill="1" applyBorder="1" applyAlignment="1">
      <alignment horizontal="right" vertical="center"/>
    </xf>
    <xf numFmtId="169" fontId="12" fillId="8" borderId="6" xfId="0" applyNumberFormat="1" applyFont="1" applyFill="1" applyBorder="1" applyAlignment="1">
      <alignment horizontal="right" vertical="center"/>
    </xf>
    <xf numFmtId="0" fontId="18" fillId="0" borderId="0" xfId="0" applyFont="1" applyAlignment="1">
      <alignment horizontal="left" vertical="top" wrapText="1"/>
    </xf>
    <xf numFmtId="0" fontId="19" fillId="0" borderId="0" xfId="0" quotePrefix="1" applyFont="1" applyAlignment="1">
      <alignment vertical="center" wrapText="1"/>
    </xf>
    <xf numFmtId="0" fontId="19" fillId="0" borderId="0" xfId="0" applyFont="1" applyAlignment="1">
      <alignment vertical="center" wrapText="1"/>
    </xf>
    <xf numFmtId="0" fontId="12" fillId="0" borderId="0" xfId="0" applyFont="1" applyAlignment="1">
      <alignment horizontal="left" vertical="center" wrapText="1"/>
    </xf>
    <xf numFmtId="0" fontId="24" fillId="0" borderId="11" xfId="0" applyFont="1" applyBorder="1" applyAlignment="1">
      <alignment horizontal="center" vertical="center"/>
    </xf>
    <xf numFmtId="0" fontId="17" fillId="7" borderId="1" xfId="0" applyFont="1" applyFill="1" applyBorder="1" applyAlignment="1">
      <alignment horizontal="center" vertical="center" wrapText="1"/>
    </xf>
    <xf numFmtId="0" fontId="17" fillId="7" borderId="5" xfId="0" applyFont="1" applyFill="1" applyBorder="1" applyAlignment="1">
      <alignment horizontal="center" vertical="center" wrapText="1"/>
    </xf>
    <xf numFmtId="0" fontId="17" fillId="7" borderId="6" xfId="0" applyFont="1" applyFill="1" applyBorder="1" applyAlignment="1">
      <alignment horizontal="center" vertical="center" wrapText="1"/>
    </xf>
    <xf numFmtId="0" fontId="17" fillId="7" borderId="7" xfId="0" applyFont="1" applyFill="1" applyBorder="1" applyAlignment="1">
      <alignment horizontal="center" vertical="center" wrapText="1"/>
    </xf>
    <xf numFmtId="0" fontId="17" fillId="7" borderId="8" xfId="0" applyFont="1" applyFill="1" applyBorder="1" applyAlignment="1">
      <alignment horizontal="center" vertical="center" wrapText="1"/>
    </xf>
    <xf numFmtId="0" fontId="17" fillId="7" borderId="10" xfId="0" applyFont="1" applyFill="1" applyBorder="1" applyAlignment="1">
      <alignment horizontal="center" vertical="center" wrapText="1"/>
    </xf>
    <xf numFmtId="0" fontId="17" fillId="7" borderId="4"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11" applyFont="1" applyFill="1" applyBorder="1" applyAlignment="1">
      <alignment horizontal="center" vertical="center" wrapText="1"/>
    </xf>
    <xf numFmtId="0" fontId="9" fillId="4" borderId="7" xfId="11" applyFont="1" applyFill="1" applyBorder="1" applyAlignment="1">
      <alignment horizontal="center" vertical="center" wrapText="1"/>
    </xf>
    <xf numFmtId="0" fontId="1" fillId="0" borderId="0" xfId="0" applyFont="1" applyAlignment="1">
      <alignment horizontal="center" vertical="center"/>
    </xf>
  </cellXfs>
  <cellStyles count="14">
    <cellStyle name="Comma" xfId="1" builtinId="3"/>
    <cellStyle name="Comma 4" xfId="3" xr:uid="{00000000-0005-0000-0000-000001000000}"/>
    <cellStyle name="Comma 5" xfId="4" xr:uid="{00000000-0005-0000-0000-000002000000}"/>
    <cellStyle name="Comma 6" xfId="5" xr:uid="{00000000-0005-0000-0000-000003000000}"/>
    <cellStyle name="Comma 7 2 3 3" xfId="6" xr:uid="{00000000-0005-0000-0000-000004000000}"/>
    <cellStyle name="Normal" xfId="0" builtinId="0"/>
    <cellStyle name="Normal 2" xfId="7" xr:uid="{00000000-0005-0000-0000-000006000000}"/>
    <cellStyle name="Normal 2 2" xfId="8" xr:uid="{00000000-0005-0000-0000-000007000000}"/>
    <cellStyle name="Normal 2 4" xfId="9" xr:uid="{00000000-0005-0000-0000-000008000000}"/>
    <cellStyle name="Normal 3" xfId="10" xr:uid="{00000000-0005-0000-0000-000009000000}"/>
    <cellStyle name="Normal 4" xfId="11" xr:uid="{00000000-0005-0000-0000-00000A000000}"/>
    <cellStyle name="Normal 5 2" xfId="12" xr:uid="{00000000-0005-0000-0000-00000B000000}"/>
    <cellStyle name="Percent" xfId="2" builtinId="5"/>
    <cellStyle name="Percent 2" xfId="13" xr:uid="{00000000-0005-0000-0000-00000D000000}"/>
  </cellStyles>
  <dxfs count="5">
    <dxf>
      <font>
        <color rgb="FF9C0006"/>
      </font>
      <fill>
        <patternFill patternType="solid">
          <bgColor rgb="FFFFC7CE"/>
        </patternFill>
      </fill>
    </dxf>
    <dxf>
      <font>
        <b val="0"/>
        <i/>
      </font>
    </dxf>
    <dxf>
      <font>
        <color rgb="FF9C0006"/>
      </font>
      <fill>
        <patternFill patternType="solid">
          <bgColor rgb="FFFFC7CE"/>
        </patternFill>
      </fill>
    </dxf>
    <dxf>
      <fill>
        <patternFill patternType="solid">
          <bgColor rgb="FF996600"/>
        </patternFill>
      </fill>
    </dxf>
    <dxf>
      <font>
        <color rgb="FF9C0006"/>
      </font>
      <fill>
        <patternFill patternType="solid">
          <bgColor rgb="FFFFC7CE"/>
        </patternFill>
      </fill>
    </dxf>
  </dxfs>
  <tableStyles count="0" defaultTableStyle="TableStyleMedium2" defaultPivotStyle="PivotStyleLight16"/>
  <colors>
    <mruColors>
      <color rgb="FF99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vi-VN" sz="2000" b="1"/>
              <a:t>B</a:t>
            </a:r>
            <a:r>
              <a:rPr lang="en-US" sz="2000" b="1"/>
              <a:t>iểu</a:t>
            </a:r>
            <a:r>
              <a:rPr lang="en-US" sz="2000" b="1" baseline="0"/>
              <a:t> đồ</a:t>
            </a:r>
            <a:r>
              <a:rPr lang="vi-VN" sz="2000" b="1"/>
              <a:t> định lượng khí nhà kính theo tỷ lệ</a:t>
            </a:r>
          </a:p>
        </c:rich>
      </c:tx>
      <c:layout>
        <c:manualLayout>
          <c:xMode val="edge"/>
          <c:yMode val="edge"/>
          <c:x val="0.27780973994297697"/>
          <c:y val="3.1598715074902903E-2"/>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3862254312316903E-2"/>
          <c:y val="0.33032810605225399"/>
          <c:w val="0.96613774568768296"/>
          <c:h val="0.51684320606572798"/>
        </c:manualLayout>
      </c:layout>
      <c:pie3DChart>
        <c:varyColors val="1"/>
        <c:ser>
          <c:idx val="0"/>
          <c:order val="0"/>
          <c:tx>
            <c:v>Bảng định lượng khí nhà kính theo tỷ lệ</c:v>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CFD7-476E-A212-0E19B73D53BD}"/>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CFD7-476E-A212-0E19B73D53BD}"/>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CFD7-476E-A212-0E19B73D53BD}"/>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CFD7-476E-A212-0E19B73D53BD}"/>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CFD7-476E-A212-0E19B73D53BD}"/>
              </c:ext>
            </c:extLst>
          </c:dPt>
          <c:dPt>
            <c:idx val="5"/>
            <c:bubble3D val="0"/>
            <c:spPr>
              <a:solidFill>
                <a:schemeClr val="accent6"/>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B-CFD7-476E-A212-0E19B73D53BD}"/>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D-CFD7-476E-A212-0E19B73D53BD}"/>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F-CFD7-476E-A212-0E19B73D53BD}"/>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1-CFD7-476E-A212-0E19B73D53BD}"/>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3-CFD7-476E-A212-0E19B73D53BD}"/>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5-CFD7-476E-A212-0E19B73D53BD}"/>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7-CFD7-476E-A212-0E19B73D53BD}"/>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9-CFD7-476E-A212-0E19B73D53BD}"/>
              </c:ext>
            </c:extLst>
          </c:dPt>
          <c:dPt>
            <c:idx val="13"/>
            <c:bubble3D val="0"/>
            <c:spPr>
              <a:solidFill>
                <a:schemeClr val="accent2">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B-CFD7-476E-A212-0E19B73D53BD}"/>
              </c:ext>
            </c:extLst>
          </c:dPt>
          <c:dPt>
            <c:idx val="14"/>
            <c:bubble3D val="0"/>
            <c:spPr>
              <a:solidFill>
                <a:schemeClr val="accent3">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D-CFD7-476E-A212-0E19B73D53BD}"/>
              </c:ext>
            </c:extLst>
          </c:dPt>
          <c:dPt>
            <c:idx val="15"/>
            <c:bubble3D val="0"/>
            <c:spPr>
              <a:solidFill>
                <a:schemeClr val="accent4">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F-CFD7-476E-A212-0E19B73D53BD}"/>
              </c:ext>
            </c:extLst>
          </c:dPt>
          <c:dPt>
            <c:idx val="16"/>
            <c:bubble3D val="0"/>
            <c:spPr>
              <a:solidFill>
                <a:schemeClr val="accent5">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1-CFD7-476E-A212-0E19B73D53BD}"/>
              </c:ext>
            </c:extLst>
          </c:dPt>
          <c:dPt>
            <c:idx val="17"/>
            <c:bubble3D val="0"/>
            <c:spPr>
              <a:solidFill>
                <a:schemeClr val="accent6">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3-CFD7-476E-A212-0E19B73D53BD}"/>
              </c:ext>
            </c:extLst>
          </c:dPt>
          <c:dPt>
            <c:idx val="18"/>
            <c:bubble3D val="0"/>
            <c:spPr>
              <a:solidFill>
                <a:schemeClr val="accent1">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5-CFD7-476E-A212-0E19B73D53BD}"/>
              </c:ext>
            </c:extLst>
          </c:dPt>
          <c:dPt>
            <c:idx val="19"/>
            <c:bubble3D val="0"/>
            <c:spPr>
              <a:solidFill>
                <a:schemeClr val="accent2">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7-CFD7-476E-A212-0E19B73D53BD}"/>
              </c:ext>
            </c:extLst>
          </c:dPt>
          <c:dPt>
            <c:idx val="20"/>
            <c:bubble3D val="0"/>
            <c:spPr>
              <a:solidFill>
                <a:schemeClr val="accent3">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9-CFD7-476E-A212-0E19B73D53BD}"/>
              </c:ext>
            </c:extLst>
          </c:dPt>
          <c:dPt>
            <c:idx val="21"/>
            <c:bubble3D val="0"/>
            <c:spPr>
              <a:solidFill>
                <a:schemeClr val="accent4">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B-CFD7-476E-A212-0E19B73D53BD}"/>
              </c:ext>
            </c:extLst>
          </c:dPt>
          <c:dPt>
            <c:idx val="22"/>
            <c:bubble3D val="0"/>
            <c:spPr>
              <a:solidFill>
                <a:schemeClr val="accent5">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D-CFD7-476E-A212-0E19B73D53BD}"/>
              </c:ext>
            </c:extLst>
          </c:dPt>
          <c:dLbls>
            <c:dLbl>
              <c:idx val="0"/>
              <c:delete val="1"/>
              <c:extLst>
                <c:ext xmlns:c15="http://schemas.microsoft.com/office/drawing/2012/chart" uri="{CE6537A1-D6FC-4f65-9D91-7224C49458BB}"/>
                <c:ext xmlns:c16="http://schemas.microsoft.com/office/drawing/2014/chart" uri="{C3380CC4-5D6E-409C-BE32-E72D297353CC}">
                  <c16:uniqueId val="{00000001-CFD7-476E-A212-0E19B73D53BD}"/>
                </c:ext>
              </c:extLst>
            </c:dLbl>
            <c:dLbl>
              <c:idx val="1"/>
              <c:delete val="1"/>
              <c:extLst>
                <c:ext xmlns:c15="http://schemas.microsoft.com/office/drawing/2012/chart" uri="{CE6537A1-D6FC-4f65-9D91-7224C49458BB}"/>
                <c:ext xmlns:c16="http://schemas.microsoft.com/office/drawing/2014/chart" uri="{C3380CC4-5D6E-409C-BE32-E72D297353CC}">
                  <c16:uniqueId val="{00000003-CFD7-476E-A212-0E19B73D53BD}"/>
                </c:ext>
              </c:extLst>
            </c:dLbl>
            <c:dLbl>
              <c:idx val="2"/>
              <c:delete val="1"/>
              <c:extLst>
                <c:ext xmlns:c15="http://schemas.microsoft.com/office/drawing/2012/chart" uri="{CE6537A1-D6FC-4f65-9D91-7224C49458BB}"/>
                <c:ext xmlns:c16="http://schemas.microsoft.com/office/drawing/2014/chart" uri="{C3380CC4-5D6E-409C-BE32-E72D297353CC}">
                  <c16:uniqueId val="{00000005-CFD7-476E-A212-0E19B73D53BD}"/>
                </c:ext>
              </c:extLst>
            </c:dLbl>
            <c:dLbl>
              <c:idx val="3"/>
              <c:delete val="1"/>
              <c:extLst>
                <c:ext xmlns:c15="http://schemas.microsoft.com/office/drawing/2012/chart" uri="{CE6537A1-D6FC-4f65-9D91-7224C49458BB}"/>
                <c:ext xmlns:c16="http://schemas.microsoft.com/office/drawing/2014/chart" uri="{C3380CC4-5D6E-409C-BE32-E72D297353CC}">
                  <c16:uniqueId val="{00000007-CFD7-476E-A212-0E19B73D53BD}"/>
                </c:ext>
              </c:extLst>
            </c:dLbl>
            <c:dLbl>
              <c:idx val="4"/>
              <c:delete val="1"/>
              <c:extLst>
                <c:ext xmlns:c15="http://schemas.microsoft.com/office/drawing/2012/chart" uri="{CE6537A1-D6FC-4f65-9D91-7224C49458BB}"/>
                <c:ext xmlns:c16="http://schemas.microsoft.com/office/drawing/2014/chart" uri="{C3380CC4-5D6E-409C-BE32-E72D297353CC}">
                  <c16:uniqueId val="{00000009-CFD7-476E-A212-0E19B73D53BD}"/>
                </c:ext>
              </c:extLst>
            </c:dLbl>
            <c:dLbl>
              <c:idx val="5"/>
              <c:delete val="1"/>
              <c:extLst>
                <c:ext xmlns:c15="http://schemas.microsoft.com/office/drawing/2012/chart" uri="{CE6537A1-D6FC-4f65-9D91-7224C49458BB}"/>
                <c:ext xmlns:c16="http://schemas.microsoft.com/office/drawing/2014/chart" uri="{C3380CC4-5D6E-409C-BE32-E72D297353CC}">
                  <c16:uniqueId val="{0000000B-CFD7-476E-A212-0E19B73D53BD}"/>
                </c:ext>
              </c:extLst>
            </c:dLbl>
            <c:dLbl>
              <c:idx val="6"/>
              <c:delete val="1"/>
              <c:extLst>
                <c:ext xmlns:c15="http://schemas.microsoft.com/office/drawing/2012/chart" uri="{CE6537A1-D6FC-4f65-9D91-7224C49458BB}"/>
                <c:ext xmlns:c16="http://schemas.microsoft.com/office/drawing/2014/chart" uri="{C3380CC4-5D6E-409C-BE32-E72D297353CC}">
                  <c16:uniqueId val="{0000000D-CFD7-476E-A212-0E19B73D53BD}"/>
                </c:ext>
              </c:extLst>
            </c:dLbl>
            <c:dLbl>
              <c:idx val="7"/>
              <c:delete val="1"/>
              <c:extLst>
                <c:ext xmlns:c15="http://schemas.microsoft.com/office/drawing/2012/chart" uri="{CE6537A1-D6FC-4f65-9D91-7224C49458BB}"/>
                <c:ext xmlns:c16="http://schemas.microsoft.com/office/drawing/2014/chart" uri="{C3380CC4-5D6E-409C-BE32-E72D297353CC}">
                  <c16:uniqueId val="{0000000F-CFD7-476E-A212-0E19B73D53BD}"/>
                </c:ext>
              </c:extLst>
            </c:dLbl>
            <c:dLbl>
              <c:idx val="8"/>
              <c:delete val="1"/>
              <c:extLst>
                <c:ext xmlns:c15="http://schemas.microsoft.com/office/drawing/2012/chart" uri="{CE6537A1-D6FC-4f65-9D91-7224C49458BB}"/>
                <c:ext xmlns:c16="http://schemas.microsoft.com/office/drawing/2014/chart" uri="{C3380CC4-5D6E-409C-BE32-E72D297353CC}">
                  <c16:uniqueId val="{00000011-CFD7-476E-A212-0E19B73D53BD}"/>
                </c:ext>
              </c:extLst>
            </c:dLbl>
            <c:dLbl>
              <c:idx val="9"/>
              <c:delete val="1"/>
              <c:extLst>
                <c:ext xmlns:c15="http://schemas.microsoft.com/office/drawing/2012/chart" uri="{CE6537A1-D6FC-4f65-9D91-7224C49458BB}"/>
                <c:ext xmlns:c16="http://schemas.microsoft.com/office/drawing/2014/chart" uri="{C3380CC4-5D6E-409C-BE32-E72D297353CC}">
                  <c16:uniqueId val="{00000013-CFD7-476E-A212-0E19B73D53BD}"/>
                </c:ext>
              </c:extLst>
            </c:dLbl>
            <c:dLbl>
              <c:idx val="10"/>
              <c:delete val="1"/>
              <c:extLst>
                <c:ext xmlns:c15="http://schemas.microsoft.com/office/drawing/2012/chart" uri="{CE6537A1-D6FC-4f65-9D91-7224C49458BB}"/>
                <c:ext xmlns:c16="http://schemas.microsoft.com/office/drawing/2014/chart" uri="{C3380CC4-5D6E-409C-BE32-E72D297353CC}">
                  <c16:uniqueId val="{00000015-CFD7-476E-A212-0E19B73D53BD}"/>
                </c:ext>
              </c:extLst>
            </c:dLbl>
            <c:dLbl>
              <c:idx val="11"/>
              <c:delete val="1"/>
              <c:extLst>
                <c:ext xmlns:c15="http://schemas.microsoft.com/office/drawing/2012/chart" uri="{CE6537A1-D6FC-4f65-9D91-7224C49458BB}"/>
                <c:ext xmlns:c16="http://schemas.microsoft.com/office/drawing/2014/chart" uri="{C3380CC4-5D6E-409C-BE32-E72D297353CC}">
                  <c16:uniqueId val="{00000017-CFD7-476E-A212-0E19B73D53BD}"/>
                </c:ext>
              </c:extLst>
            </c:dLbl>
            <c:dLbl>
              <c:idx val="12"/>
              <c:delete val="1"/>
              <c:extLst>
                <c:ext xmlns:c15="http://schemas.microsoft.com/office/drawing/2012/chart" uri="{CE6537A1-D6FC-4f65-9D91-7224C49458BB}"/>
                <c:ext xmlns:c16="http://schemas.microsoft.com/office/drawing/2014/chart" uri="{C3380CC4-5D6E-409C-BE32-E72D297353CC}">
                  <c16:uniqueId val="{00000019-CFD7-476E-A212-0E19B73D53BD}"/>
                </c:ext>
              </c:extLst>
            </c:dLbl>
            <c:dLbl>
              <c:idx val="13"/>
              <c:delete val="1"/>
              <c:extLst>
                <c:ext xmlns:c15="http://schemas.microsoft.com/office/drawing/2012/chart" uri="{CE6537A1-D6FC-4f65-9D91-7224C49458BB}"/>
                <c:ext xmlns:c16="http://schemas.microsoft.com/office/drawing/2014/chart" uri="{C3380CC4-5D6E-409C-BE32-E72D297353CC}">
                  <c16:uniqueId val="{0000001B-CFD7-476E-A212-0E19B73D53BD}"/>
                </c:ext>
              </c:extLst>
            </c:dLbl>
            <c:dLbl>
              <c:idx val="14"/>
              <c:delete val="1"/>
              <c:extLst>
                <c:ext xmlns:c15="http://schemas.microsoft.com/office/drawing/2012/chart" uri="{CE6537A1-D6FC-4f65-9D91-7224C49458BB}"/>
                <c:ext xmlns:c16="http://schemas.microsoft.com/office/drawing/2014/chart" uri="{C3380CC4-5D6E-409C-BE32-E72D297353CC}">
                  <c16:uniqueId val="{0000001D-CFD7-476E-A212-0E19B73D53BD}"/>
                </c:ext>
              </c:extLst>
            </c:dLbl>
            <c:dLbl>
              <c:idx val="15"/>
              <c:delete val="1"/>
              <c:extLst>
                <c:ext xmlns:c15="http://schemas.microsoft.com/office/drawing/2012/chart" uri="{CE6537A1-D6FC-4f65-9D91-7224C49458BB}"/>
                <c:ext xmlns:c16="http://schemas.microsoft.com/office/drawing/2014/chart" uri="{C3380CC4-5D6E-409C-BE32-E72D297353CC}">
                  <c16:uniqueId val="{0000001F-CFD7-476E-A212-0E19B73D53BD}"/>
                </c:ext>
              </c:extLst>
            </c:dLbl>
            <c:dLbl>
              <c:idx val="16"/>
              <c:delete val="1"/>
              <c:extLst>
                <c:ext xmlns:c15="http://schemas.microsoft.com/office/drawing/2012/chart" uri="{CE6537A1-D6FC-4f65-9D91-7224C49458BB}"/>
                <c:ext xmlns:c16="http://schemas.microsoft.com/office/drawing/2014/chart" uri="{C3380CC4-5D6E-409C-BE32-E72D297353CC}">
                  <c16:uniqueId val="{00000021-CFD7-476E-A212-0E19B73D53BD}"/>
                </c:ext>
              </c:extLst>
            </c:dLbl>
            <c:dLbl>
              <c:idx val="17"/>
              <c:delete val="1"/>
              <c:extLst>
                <c:ext xmlns:c15="http://schemas.microsoft.com/office/drawing/2012/chart" uri="{CE6537A1-D6FC-4f65-9D91-7224C49458BB}"/>
                <c:ext xmlns:c16="http://schemas.microsoft.com/office/drawing/2014/chart" uri="{C3380CC4-5D6E-409C-BE32-E72D297353CC}">
                  <c16:uniqueId val="{00000023-CFD7-476E-A212-0E19B73D53BD}"/>
                </c:ext>
              </c:extLst>
            </c:dLbl>
            <c:dLbl>
              <c:idx val="18"/>
              <c:delete val="1"/>
              <c:extLst>
                <c:ext xmlns:c15="http://schemas.microsoft.com/office/drawing/2012/chart" uri="{CE6537A1-D6FC-4f65-9D91-7224C49458BB}"/>
                <c:ext xmlns:c16="http://schemas.microsoft.com/office/drawing/2014/chart" uri="{C3380CC4-5D6E-409C-BE32-E72D297353CC}">
                  <c16:uniqueId val="{00000025-CFD7-476E-A212-0E19B73D53BD}"/>
                </c:ext>
              </c:extLst>
            </c:dLbl>
            <c:dLbl>
              <c:idx val="19"/>
              <c:delete val="1"/>
              <c:extLst>
                <c:ext xmlns:c15="http://schemas.microsoft.com/office/drawing/2012/chart" uri="{CE6537A1-D6FC-4f65-9D91-7224C49458BB}"/>
                <c:ext xmlns:c16="http://schemas.microsoft.com/office/drawing/2014/chart" uri="{C3380CC4-5D6E-409C-BE32-E72D297353CC}">
                  <c16:uniqueId val="{00000027-CFD7-476E-A212-0E19B73D53BD}"/>
                </c:ext>
              </c:extLst>
            </c:dLbl>
            <c:dLbl>
              <c:idx val="20"/>
              <c:delete val="1"/>
              <c:extLst>
                <c:ext xmlns:c15="http://schemas.microsoft.com/office/drawing/2012/chart" uri="{CE6537A1-D6FC-4f65-9D91-7224C49458BB}"/>
                <c:ext xmlns:c16="http://schemas.microsoft.com/office/drawing/2014/chart" uri="{C3380CC4-5D6E-409C-BE32-E72D297353CC}">
                  <c16:uniqueId val="{00000029-CFD7-476E-A212-0E19B73D53BD}"/>
                </c:ext>
              </c:extLst>
            </c:dLbl>
            <c:dLbl>
              <c:idx val="21"/>
              <c:delete val="1"/>
              <c:extLst>
                <c:ext xmlns:c15="http://schemas.microsoft.com/office/drawing/2012/chart" uri="{CE6537A1-D6FC-4f65-9D91-7224C49458BB}"/>
                <c:ext xmlns:c16="http://schemas.microsoft.com/office/drawing/2014/chart" uri="{C3380CC4-5D6E-409C-BE32-E72D297353CC}">
                  <c16:uniqueId val="{0000002B-CFD7-476E-A212-0E19B73D53BD}"/>
                </c:ext>
              </c:extLst>
            </c:dLbl>
            <c:dLbl>
              <c:idx val="2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CFD7-476E-A212-0E19B73D53BD}"/>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s>
          <c:val>
            <c:numRef>
              <c:f>'QT02BM01Bảng địnhluongLoaiKhí..'!$H$8:$H$30</c:f>
              <c:numCache>
                <c:formatCode>0.00%</c:formatCode>
                <c:ptCount val="23"/>
                <c:pt idx="0">
                  <c:v>0</c:v>
                </c:pt>
                <c:pt idx="1">
                  <c:v>0</c:v>
                </c:pt>
                <c:pt idx="2">
                  <c:v>0</c:v>
                </c:pt>
                <c:pt idx="3">
                  <c:v>0</c:v>
                </c:pt>
                <c:pt idx="4">
                  <c:v>0</c:v>
                </c:pt>
                <c:pt idx="5">
                  <c:v>0</c:v>
                </c:pt>
                <c:pt idx="6">
                  <c:v>0</c:v>
                </c:pt>
                <c:pt idx="7">
                  <c:v>0</c:v>
                </c:pt>
                <c:pt idx="8">
                  <c:v>0</c:v>
                </c:pt>
                <c:pt idx="9">
                  <c:v>0</c:v>
                </c:pt>
                <c:pt idx="10">
                  <c:v>0</c:v>
                </c:pt>
                <c:pt idx="12">
                  <c:v>0</c:v>
                </c:pt>
                <c:pt idx="13">
                  <c:v>0</c:v>
                </c:pt>
                <c:pt idx="15">
                  <c:v>0</c:v>
                </c:pt>
                <c:pt idx="16">
                  <c:v>0</c:v>
                </c:pt>
                <c:pt idx="17">
                  <c:v>0</c:v>
                </c:pt>
                <c:pt idx="18">
                  <c:v>0</c:v>
                </c:pt>
                <c:pt idx="19">
                  <c:v>0</c:v>
                </c:pt>
                <c:pt idx="20">
                  <c:v>0</c:v>
                </c:pt>
                <c:pt idx="22">
                  <c:v>0</c:v>
                </c:pt>
              </c:numCache>
            </c:numRef>
          </c:val>
          <c:extLst>
            <c:ext xmlns:c16="http://schemas.microsoft.com/office/drawing/2014/chart" uri="{C3380CC4-5D6E-409C-BE32-E72D297353CC}">
              <c16:uniqueId val="{0000002E-CFD7-476E-A212-0E19B73D53BD}"/>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2a41410-020c-4953-8c67-9aa271f86dc7}"/>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vi-VN" sz="2000" b="1"/>
              <a:t>B</a:t>
            </a:r>
            <a:r>
              <a:rPr lang="en-US" sz="2000" b="1"/>
              <a:t>iểu</a:t>
            </a:r>
            <a:r>
              <a:rPr lang="en-US" sz="2000" b="1" baseline="0"/>
              <a:t> đồ</a:t>
            </a:r>
            <a:r>
              <a:rPr lang="vi-VN" sz="2000" b="1"/>
              <a:t> định lượng khí nhà kính theo tỷ lệ</a:t>
            </a:r>
          </a:p>
        </c:rich>
      </c:tx>
      <c:layout>
        <c:manualLayout>
          <c:xMode val="edge"/>
          <c:yMode val="edge"/>
          <c:x val="0.27780973994297697"/>
          <c:y val="3.1598715074902903E-2"/>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3862254312316903E-2"/>
          <c:y val="0.33032810605225399"/>
          <c:w val="0.96613774568768296"/>
          <c:h val="0.51684320606572798"/>
        </c:manualLayout>
      </c:layout>
      <c:pie3DChart>
        <c:varyColors val="1"/>
        <c:ser>
          <c:idx val="0"/>
          <c:order val="0"/>
          <c:tx>
            <c:v>Bảng định lượng khí nhà kính theo tỷ lệ</c:v>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7520-4036-B27A-90B0E41BCA4A}"/>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7520-4036-B27A-90B0E41BCA4A}"/>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7520-4036-B27A-90B0E41BCA4A}"/>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7520-4036-B27A-90B0E41BCA4A}"/>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7520-4036-B27A-90B0E41BCA4A}"/>
              </c:ext>
            </c:extLst>
          </c:dPt>
          <c:dPt>
            <c:idx val="5"/>
            <c:bubble3D val="0"/>
            <c:spPr>
              <a:solidFill>
                <a:schemeClr val="accent6"/>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B-7520-4036-B27A-90B0E41BCA4A}"/>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D-7520-4036-B27A-90B0E41BCA4A}"/>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F-7520-4036-B27A-90B0E41BCA4A}"/>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1-7520-4036-B27A-90B0E41BCA4A}"/>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3-7520-4036-B27A-90B0E41BCA4A}"/>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5-7520-4036-B27A-90B0E41BCA4A}"/>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7-7520-4036-B27A-90B0E41BCA4A}"/>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9-7520-4036-B27A-90B0E41BCA4A}"/>
              </c:ext>
            </c:extLst>
          </c:dPt>
          <c:dPt>
            <c:idx val="13"/>
            <c:bubble3D val="0"/>
            <c:spPr>
              <a:solidFill>
                <a:schemeClr val="accent2">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B-7520-4036-B27A-90B0E41BCA4A}"/>
              </c:ext>
            </c:extLst>
          </c:dPt>
          <c:dPt>
            <c:idx val="14"/>
            <c:bubble3D val="0"/>
            <c:spPr>
              <a:solidFill>
                <a:schemeClr val="accent3">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D-7520-4036-B27A-90B0E41BCA4A}"/>
              </c:ext>
            </c:extLst>
          </c:dPt>
          <c:dPt>
            <c:idx val="15"/>
            <c:bubble3D val="0"/>
            <c:spPr>
              <a:solidFill>
                <a:schemeClr val="accent4">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F-7520-4036-B27A-90B0E41BCA4A}"/>
              </c:ext>
            </c:extLst>
          </c:dPt>
          <c:dPt>
            <c:idx val="16"/>
            <c:bubble3D val="0"/>
            <c:spPr>
              <a:solidFill>
                <a:schemeClr val="accent5">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1-7520-4036-B27A-90B0E41BCA4A}"/>
              </c:ext>
            </c:extLst>
          </c:dPt>
          <c:dPt>
            <c:idx val="17"/>
            <c:bubble3D val="0"/>
            <c:spPr>
              <a:solidFill>
                <a:schemeClr val="accent6">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3-7520-4036-B27A-90B0E41BCA4A}"/>
              </c:ext>
            </c:extLst>
          </c:dPt>
          <c:dPt>
            <c:idx val="18"/>
            <c:bubble3D val="0"/>
            <c:spPr>
              <a:solidFill>
                <a:schemeClr val="accent1">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5-7520-4036-B27A-90B0E41BCA4A}"/>
              </c:ext>
            </c:extLst>
          </c:dPt>
          <c:dPt>
            <c:idx val="19"/>
            <c:bubble3D val="0"/>
            <c:spPr>
              <a:solidFill>
                <a:schemeClr val="accent2">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7-7520-4036-B27A-90B0E41BCA4A}"/>
              </c:ext>
            </c:extLst>
          </c:dPt>
          <c:dPt>
            <c:idx val="20"/>
            <c:bubble3D val="0"/>
            <c:spPr>
              <a:solidFill>
                <a:schemeClr val="accent3">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9-7520-4036-B27A-90B0E41BCA4A}"/>
              </c:ext>
            </c:extLst>
          </c:dPt>
          <c:dPt>
            <c:idx val="21"/>
            <c:bubble3D val="0"/>
            <c:spPr>
              <a:solidFill>
                <a:schemeClr val="accent4">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B-7520-4036-B27A-90B0E41BCA4A}"/>
              </c:ext>
            </c:extLst>
          </c:dPt>
          <c:dPt>
            <c:idx val="22"/>
            <c:bubble3D val="0"/>
            <c:spPr>
              <a:solidFill>
                <a:schemeClr val="accent5">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D-7520-4036-B27A-90B0E41BCA4A}"/>
              </c:ext>
            </c:extLst>
          </c:dPt>
          <c:dLbls>
            <c:dLbl>
              <c:idx val="0"/>
              <c:delete val="1"/>
              <c:extLst>
                <c:ext xmlns:c15="http://schemas.microsoft.com/office/drawing/2012/chart" uri="{CE6537A1-D6FC-4f65-9D91-7224C49458BB}"/>
                <c:ext xmlns:c16="http://schemas.microsoft.com/office/drawing/2014/chart" uri="{C3380CC4-5D6E-409C-BE32-E72D297353CC}">
                  <c16:uniqueId val="{00000001-7520-4036-B27A-90B0E41BCA4A}"/>
                </c:ext>
              </c:extLst>
            </c:dLbl>
            <c:dLbl>
              <c:idx val="1"/>
              <c:delete val="1"/>
              <c:extLst>
                <c:ext xmlns:c15="http://schemas.microsoft.com/office/drawing/2012/chart" uri="{CE6537A1-D6FC-4f65-9D91-7224C49458BB}"/>
                <c:ext xmlns:c16="http://schemas.microsoft.com/office/drawing/2014/chart" uri="{C3380CC4-5D6E-409C-BE32-E72D297353CC}">
                  <c16:uniqueId val="{00000003-7520-4036-B27A-90B0E41BCA4A}"/>
                </c:ext>
              </c:extLst>
            </c:dLbl>
            <c:dLbl>
              <c:idx val="2"/>
              <c:delete val="1"/>
              <c:extLst>
                <c:ext xmlns:c15="http://schemas.microsoft.com/office/drawing/2012/chart" uri="{CE6537A1-D6FC-4f65-9D91-7224C49458BB}"/>
                <c:ext xmlns:c16="http://schemas.microsoft.com/office/drawing/2014/chart" uri="{C3380CC4-5D6E-409C-BE32-E72D297353CC}">
                  <c16:uniqueId val="{00000005-7520-4036-B27A-90B0E41BCA4A}"/>
                </c:ext>
              </c:extLst>
            </c:dLbl>
            <c:dLbl>
              <c:idx val="3"/>
              <c:delete val="1"/>
              <c:extLst>
                <c:ext xmlns:c15="http://schemas.microsoft.com/office/drawing/2012/chart" uri="{CE6537A1-D6FC-4f65-9D91-7224C49458BB}"/>
                <c:ext xmlns:c16="http://schemas.microsoft.com/office/drawing/2014/chart" uri="{C3380CC4-5D6E-409C-BE32-E72D297353CC}">
                  <c16:uniqueId val="{00000007-7520-4036-B27A-90B0E41BCA4A}"/>
                </c:ext>
              </c:extLst>
            </c:dLbl>
            <c:dLbl>
              <c:idx val="4"/>
              <c:delete val="1"/>
              <c:extLst>
                <c:ext xmlns:c15="http://schemas.microsoft.com/office/drawing/2012/chart" uri="{CE6537A1-D6FC-4f65-9D91-7224C49458BB}"/>
                <c:ext xmlns:c16="http://schemas.microsoft.com/office/drawing/2014/chart" uri="{C3380CC4-5D6E-409C-BE32-E72D297353CC}">
                  <c16:uniqueId val="{00000009-7520-4036-B27A-90B0E41BCA4A}"/>
                </c:ext>
              </c:extLst>
            </c:dLbl>
            <c:dLbl>
              <c:idx val="5"/>
              <c:delete val="1"/>
              <c:extLst>
                <c:ext xmlns:c15="http://schemas.microsoft.com/office/drawing/2012/chart" uri="{CE6537A1-D6FC-4f65-9D91-7224C49458BB}"/>
                <c:ext xmlns:c16="http://schemas.microsoft.com/office/drawing/2014/chart" uri="{C3380CC4-5D6E-409C-BE32-E72D297353CC}">
                  <c16:uniqueId val="{0000000B-7520-4036-B27A-90B0E41BCA4A}"/>
                </c:ext>
              </c:extLst>
            </c:dLbl>
            <c:dLbl>
              <c:idx val="6"/>
              <c:delete val="1"/>
              <c:extLst>
                <c:ext xmlns:c15="http://schemas.microsoft.com/office/drawing/2012/chart" uri="{CE6537A1-D6FC-4f65-9D91-7224C49458BB}"/>
                <c:ext xmlns:c16="http://schemas.microsoft.com/office/drawing/2014/chart" uri="{C3380CC4-5D6E-409C-BE32-E72D297353CC}">
                  <c16:uniqueId val="{0000000D-7520-4036-B27A-90B0E41BCA4A}"/>
                </c:ext>
              </c:extLst>
            </c:dLbl>
            <c:dLbl>
              <c:idx val="7"/>
              <c:delete val="1"/>
              <c:extLst>
                <c:ext xmlns:c15="http://schemas.microsoft.com/office/drawing/2012/chart" uri="{CE6537A1-D6FC-4f65-9D91-7224C49458BB}"/>
                <c:ext xmlns:c16="http://schemas.microsoft.com/office/drawing/2014/chart" uri="{C3380CC4-5D6E-409C-BE32-E72D297353CC}">
                  <c16:uniqueId val="{0000000F-7520-4036-B27A-90B0E41BCA4A}"/>
                </c:ext>
              </c:extLst>
            </c:dLbl>
            <c:dLbl>
              <c:idx val="8"/>
              <c:delete val="1"/>
              <c:extLst>
                <c:ext xmlns:c15="http://schemas.microsoft.com/office/drawing/2012/chart" uri="{CE6537A1-D6FC-4f65-9D91-7224C49458BB}"/>
                <c:ext xmlns:c16="http://schemas.microsoft.com/office/drawing/2014/chart" uri="{C3380CC4-5D6E-409C-BE32-E72D297353CC}">
                  <c16:uniqueId val="{00000011-7520-4036-B27A-90B0E41BCA4A}"/>
                </c:ext>
              </c:extLst>
            </c:dLbl>
            <c:dLbl>
              <c:idx val="9"/>
              <c:delete val="1"/>
              <c:extLst>
                <c:ext xmlns:c15="http://schemas.microsoft.com/office/drawing/2012/chart" uri="{CE6537A1-D6FC-4f65-9D91-7224C49458BB}"/>
                <c:ext xmlns:c16="http://schemas.microsoft.com/office/drawing/2014/chart" uri="{C3380CC4-5D6E-409C-BE32-E72D297353CC}">
                  <c16:uniqueId val="{00000013-7520-4036-B27A-90B0E41BCA4A}"/>
                </c:ext>
              </c:extLst>
            </c:dLbl>
            <c:dLbl>
              <c:idx val="10"/>
              <c:delete val="1"/>
              <c:extLst>
                <c:ext xmlns:c15="http://schemas.microsoft.com/office/drawing/2012/chart" uri="{CE6537A1-D6FC-4f65-9D91-7224C49458BB}"/>
                <c:ext xmlns:c16="http://schemas.microsoft.com/office/drawing/2014/chart" uri="{C3380CC4-5D6E-409C-BE32-E72D297353CC}">
                  <c16:uniqueId val="{00000015-7520-4036-B27A-90B0E41BCA4A}"/>
                </c:ext>
              </c:extLst>
            </c:dLbl>
            <c:dLbl>
              <c:idx val="11"/>
              <c:delete val="1"/>
              <c:extLst>
                <c:ext xmlns:c15="http://schemas.microsoft.com/office/drawing/2012/chart" uri="{CE6537A1-D6FC-4f65-9D91-7224C49458BB}"/>
                <c:ext xmlns:c16="http://schemas.microsoft.com/office/drawing/2014/chart" uri="{C3380CC4-5D6E-409C-BE32-E72D297353CC}">
                  <c16:uniqueId val="{00000017-7520-4036-B27A-90B0E41BCA4A}"/>
                </c:ext>
              </c:extLst>
            </c:dLbl>
            <c:dLbl>
              <c:idx val="12"/>
              <c:delete val="1"/>
              <c:extLst>
                <c:ext xmlns:c15="http://schemas.microsoft.com/office/drawing/2012/chart" uri="{CE6537A1-D6FC-4f65-9D91-7224C49458BB}"/>
                <c:ext xmlns:c16="http://schemas.microsoft.com/office/drawing/2014/chart" uri="{C3380CC4-5D6E-409C-BE32-E72D297353CC}">
                  <c16:uniqueId val="{00000019-7520-4036-B27A-90B0E41BCA4A}"/>
                </c:ext>
              </c:extLst>
            </c:dLbl>
            <c:dLbl>
              <c:idx val="13"/>
              <c:delete val="1"/>
              <c:extLst>
                <c:ext xmlns:c15="http://schemas.microsoft.com/office/drawing/2012/chart" uri="{CE6537A1-D6FC-4f65-9D91-7224C49458BB}"/>
                <c:ext xmlns:c16="http://schemas.microsoft.com/office/drawing/2014/chart" uri="{C3380CC4-5D6E-409C-BE32-E72D297353CC}">
                  <c16:uniqueId val="{0000001B-7520-4036-B27A-90B0E41BCA4A}"/>
                </c:ext>
              </c:extLst>
            </c:dLbl>
            <c:dLbl>
              <c:idx val="14"/>
              <c:delete val="1"/>
              <c:extLst>
                <c:ext xmlns:c15="http://schemas.microsoft.com/office/drawing/2012/chart" uri="{CE6537A1-D6FC-4f65-9D91-7224C49458BB}"/>
                <c:ext xmlns:c16="http://schemas.microsoft.com/office/drawing/2014/chart" uri="{C3380CC4-5D6E-409C-BE32-E72D297353CC}">
                  <c16:uniqueId val="{0000001D-7520-4036-B27A-90B0E41BCA4A}"/>
                </c:ext>
              </c:extLst>
            </c:dLbl>
            <c:dLbl>
              <c:idx val="15"/>
              <c:delete val="1"/>
              <c:extLst>
                <c:ext xmlns:c15="http://schemas.microsoft.com/office/drawing/2012/chart" uri="{CE6537A1-D6FC-4f65-9D91-7224C49458BB}"/>
                <c:ext xmlns:c16="http://schemas.microsoft.com/office/drawing/2014/chart" uri="{C3380CC4-5D6E-409C-BE32-E72D297353CC}">
                  <c16:uniqueId val="{0000001F-7520-4036-B27A-90B0E41BCA4A}"/>
                </c:ext>
              </c:extLst>
            </c:dLbl>
            <c:dLbl>
              <c:idx val="16"/>
              <c:delete val="1"/>
              <c:extLst>
                <c:ext xmlns:c15="http://schemas.microsoft.com/office/drawing/2012/chart" uri="{CE6537A1-D6FC-4f65-9D91-7224C49458BB}"/>
                <c:ext xmlns:c16="http://schemas.microsoft.com/office/drawing/2014/chart" uri="{C3380CC4-5D6E-409C-BE32-E72D297353CC}">
                  <c16:uniqueId val="{00000021-7520-4036-B27A-90B0E41BCA4A}"/>
                </c:ext>
              </c:extLst>
            </c:dLbl>
            <c:dLbl>
              <c:idx val="17"/>
              <c:delete val="1"/>
              <c:extLst>
                <c:ext xmlns:c15="http://schemas.microsoft.com/office/drawing/2012/chart" uri="{CE6537A1-D6FC-4f65-9D91-7224C49458BB}"/>
                <c:ext xmlns:c16="http://schemas.microsoft.com/office/drawing/2014/chart" uri="{C3380CC4-5D6E-409C-BE32-E72D297353CC}">
                  <c16:uniqueId val="{00000023-7520-4036-B27A-90B0E41BCA4A}"/>
                </c:ext>
              </c:extLst>
            </c:dLbl>
            <c:dLbl>
              <c:idx val="18"/>
              <c:delete val="1"/>
              <c:extLst>
                <c:ext xmlns:c15="http://schemas.microsoft.com/office/drawing/2012/chart" uri="{CE6537A1-D6FC-4f65-9D91-7224C49458BB}"/>
                <c:ext xmlns:c16="http://schemas.microsoft.com/office/drawing/2014/chart" uri="{C3380CC4-5D6E-409C-BE32-E72D297353CC}">
                  <c16:uniqueId val="{00000025-7520-4036-B27A-90B0E41BCA4A}"/>
                </c:ext>
              </c:extLst>
            </c:dLbl>
            <c:dLbl>
              <c:idx val="19"/>
              <c:delete val="1"/>
              <c:extLst>
                <c:ext xmlns:c15="http://schemas.microsoft.com/office/drawing/2012/chart" uri="{CE6537A1-D6FC-4f65-9D91-7224C49458BB}"/>
                <c:ext xmlns:c16="http://schemas.microsoft.com/office/drawing/2014/chart" uri="{C3380CC4-5D6E-409C-BE32-E72D297353CC}">
                  <c16:uniqueId val="{00000027-7520-4036-B27A-90B0E41BCA4A}"/>
                </c:ext>
              </c:extLst>
            </c:dLbl>
            <c:dLbl>
              <c:idx val="20"/>
              <c:delete val="1"/>
              <c:extLst>
                <c:ext xmlns:c15="http://schemas.microsoft.com/office/drawing/2012/chart" uri="{CE6537A1-D6FC-4f65-9D91-7224C49458BB}"/>
                <c:ext xmlns:c16="http://schemas.microsoft.com/office/drawing/2014/chart" uri="{C3380CC4-5D6E-409C-BE32-E72D297353CC}">
                  <c16:uniqueId val="{00000029-7520-4036-B27A-90B0E41BCA4A}"/>
                </c:ext>
              </c:extLst>
            </c:dLbl>
            <c:dLbl>
              <c:idx val="21"/>
              <c:delete val="1"/>
              <c:extLst>
                <c:ext xmlns:c15="http://schemas.microsoft.com/office/drawing/2012/chart" uri="{CE6537A1-D6FC-4f65-9D91-7224C49458BB}"/>
                <c:ext xmlns:c16="http://schemas.microsoft.com/office/drawing/2014/chart" uri="{C3380CC4-5D6E-409C-BE32-E72D297353CC}">
                  <c16:uniqueId val="{0000002B-7520-4036-B27A-90B0E41BCA4A}"/>
                </c:ext>
              </c:extLst>
            </c:dLbl>
            <c:dLbl>
              <c:idx val="2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7520-4036-B27A-90B0E41BCA4A}"/>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s>
          <c:val>
            <c:numRef>
              <c:f>'QT02BM01Bảng địnhluongLoaiKhí..'!$H$8:$H$30</c:f>
              <c:numCache>
                <c:formatCode>0.00%</c:formatCode>
                <c:ptCount val="23"/>
                <c:pt idx="0">
                  <c:v>0</c:v>
                </c:pt>
                <c:pt idx="1">
                  <c:v>0</c:v>
                </c:pt>
                <c:pt idx="2">
                  <c:v>0</c:v>
                </c:pt>
                <c:pt idx="3">
                  <c:v>0</c:v>
                </c:pt>
                <c:pt idx="4">
                  <c:v>0</c:v>
                </c:pt>
                <c:pt idx="5">
                  <c:v>0</c:v>
                </c:pt>
                <c:pt idx="6">
                  <c:v>0</c:v>
                </c:pt>
                <c:pt idx="7">
                  <c:v>0</c:v>
                </c:pt>
                <c:pt idx="8">
                  <c:v>0</c:v>
                </c:pt>
                <c:pt idx="9">
                  <c:v>0</c:v>
                </c:pt>
                <c:pt idx="10">
                  <c:v>0</c:v>
                </c:pt>
                <c:pt idx="12">
                  <c:v>0</c:v>
                </c:pt>
                <c:pt idx="13">
                  <c:v>0</c:v>
                </c:pt>
                <c:pt idx="15">
                  <c:v>0</c:v>
                </c:pt>
                <c:pt idx="16">
                  <c:v>0</c:v>
                </c:pt>
                <c:pt idx="17">
                  <c:v>0</c:v>
                </c:pt>
                <c:pt idx="18">
                  <c:v>0</c:v>
                </c:pt>
                <c:pt idx="19">
                  <c:v>0</c:v>
                </c:pt>
                <c:pt idx="20">
                  <c:v>0</c:v>
                </c:pt>
                <c:pt idx="22">
                  <c:v>0</c:v>
                </c:pt>
              </c:numCache>
            </c:numRef>
          </c:val>
          <c:extLst>
            <c:ext xmlns:c16="http://schemas.microsoft.com/office/drawing/2014/chart" uri="{C3380CC4-5D6E-409C-BE32-E72D297353CC}">
              <c16:uniqueId val="{0000002E-7520-4036-B27A-90B0E41BCA4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aaac943-ac1e-4f0e-be15-506d9626db80}"/>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vi-VN" sz="2000" b="1"/>
              <a:t>B</a:t>
            </a:r>
            <a:r>
              <a:rPr lang="en-US" sz="2000" b="1"/>
              <a:t>iểu</a:t>
            </a:r>
            <a:r>
              <a:rPr lang="en-US" sz="2000" b="1" baseline="0"/>
              <a:t> đồ</a:t>
            </a:r>
            <a:r>
              <a:rPr lang="vi-VN" sz="2000" b="1"/>
              <a:t> định lượng khí nhà kính theo tỷ lệ</a:t>
            </a:r>
          </a:p>
        </c:rich>
      </c:tx>
      <c:layout>
        <c:manualLayout>
          <c:xMode val="edge"/>
          <c:yMode val="edge"/>
          <c:x val="0.27780973994297697"/>
          <c:y val="3.1598715074902903E-2"/>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3862254312316903E-2"/>
          <c:y val="0.33032810605225399"/>
          <c:w val="0.96613774568768296"/>
          <c:h val="0.51684320606572798"/>
        </c:manualLayout>
      </c:layout>
      <c:pie3DChart>
        <c:varyColors val="1"/>
        <c:ser>
          <c:idx val="0"/>
          <c:order val="0"/>
          <c:tx>
            <c:v>Bảng định lượng khí nhà kính theo tỷ lệ</c:v>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003E-493D-BA34-D7893ADDB914}"/>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003E-493D-BA34-D7893ADDB914}"/>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003E-493D-BA34-D7893ADDB914}"/>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003E-493D-BA34-D7893ADDB914}"/>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003E-493D-BA34-D7893ADDB914}"/>
              </c:ext>
            </c:extLst>
          </c:dPt>
          <c:dPt>
            <c:idx val="5"/>
            <c:bubble3D val="0"/>
            <c:spPr>
              <a:solidFill>
                <a:schemeClr val="accent6"/>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B-003E-493D-BA34-D7893ADDB914}"/>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D-003E-493D-BA34-D7893ADDB914}"/>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F-003E-493D-BA34-D7893ADDB914}"/>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1-003E-493D-BA34-D7893ADDB914}"/>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3-003E-493D-BA34-D7893ADDB914}"/>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5-003E-493D-BA34-D7893ADDB914}"/>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7-003E-493D-BA34-D7893ADDB914}"/>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9-003E-493D-BA34-D7893ADDB914}"/>
              </c:ext>
            </c:extLst>
          </c:dPt>
          <c:dPt>
            <c:idx val="13"/>
            <c:bubble3D val="0"/>
            <c:spPr>
              <a:solidFill>
                <a:schemeClr val="accent2">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B-003E-493D-BA34-D7893ADDB914}"/>
              </c:ext>
            </c:extLst>
          </c:dPt>
          <c:dPt>
            <c:idx val="14"/>
            <c:bubble3D val="0"/>
            <c:spPr>
              <a:solidFill>
                <a:schemeClr val="accent3">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D-003E-493D-BA34-D7893ADDB914}"/>
              </c:ext>
            </c:extLst>
          </c:dPt>
          <c:dPt>
            <c:idx val="15"/>
            <c:bubble3D val="0"/>
            <c:spPr>
              <a:solidFill>
                <a:schemeClr val="accent4">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F-003E-493D-BA34-D7893ADDB914}"/>
              </c:ext>
            </c:extLst>
          </c:dPt>
          <c:dPt>
            <c:idx val="16"/>
            <c:bubble3D val="0"/>
            <c:spPr>
              <a:solidFill>
                <a:schemeClr val="accent5">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1-003E-493D-BA34-D7893ADDB914}"/>
              </c:ext>
            </c:extLst>
          </c:dPt>
          <c:dPt>
            <c:idx val="17"/>
            <c:bubble3D val="0"/>
            <c:spPr>
              <a:solidFill>
                <a:schemeClr val="accent6">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3-003E-493D-BA34-D7893ADDB914}"/>
              </c:ext>
            </c:extLst>
          </c:dPt>
          <c:dPt>
            <c:idx val="18"/>
            <c:bubble3D val="0"/>
            <c:spPr>
              <a:solidFill>
                <a:schemeClr val="accent1">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5-003E-493D-BA34-D7893ADDB914}"/>
              </c:ext>
            </c:extLst>
          </c:dPt>
          <c:dPt>
            <c:idx val="19"/>
            <c:bubble3D val="0"/>
            <c:spPr>
              <a:solidFill>
                <a:schemeClr val="accent2">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7-003E-493D-BA34-D7893ADDB914}"/>
              </c:ext>
            </c:extLst>
          </c:dPt>
          <c:dPt>
            <c:idx val="20"/>
            <c:bubble3D val="0"/>
            <c:spPr>
              <a:solidFill>
                <a:schemeClr val="accent3">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9-003E-493D-BA34-D7893ADDB914}"/>
              </c:ext>
            </c:extLst>
          </c:dPt>
          <c:dPt>
            <c:idx val="21"/>
            <c:bubble3D val="0"/>
            <c:spPr>
              <a:solidFill>
                <a:schemeClr val="accent4">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B-003E-493D-BA34-D7893ADDB914}"/>
              </c:ext>
            </c:extLst>
          </c:dPt>
          <c:dPt>
            <c:idx val="22"/>
            <c:bubble3D val="0"/>
            <c:spPr>
              <a:solidFill>
                <a:schemeClr val="accent5">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D-003E-493D-BA34-D7893ADDB914}"/>
              </c:ext>
            </c:extLst>
          </c:dPt>
          <c:dLbls>
            <c:dLbl>
              <c:idx val="0"/>
              <c:delete val="1"/>
              <c:extLst>
                <c:ext xmlns:c15="http://schemas.microsoft.com/office/drawing/2012/chart" uri="{CE6537A1-D6FC-4f65-9D91-7224C49458BB}"/>
                <c:ext xmlns:c16="http://schemas.microsoft.com/office/drawing/2014/chart" uri="{C3380CC4-5D6E-409C-BE32-E72D297353CC}">
                  <c16:uniqueId val="{00000001-003E-493D-BA34-D7893ADDB914}"/>
                </c:ext>
              </c:extLst>
            </c:dLbl>
            <c:dLbl>
              <c:idx val="1"/>
              <c:delete val="1"/>
              <c:extLst>
                <c:ext xmlns:c15="http://schemas.microsoft.com/office/drawing/2012/chart" uri="{CE6537A1-D6FC-4f65-9D91-7224C49458BB}"/>
                <c:ext xmlns:c16="http://schemas.microsoft.com/office/drawing/2014/chart" uri="{C3380CC4-5D6E-409C-BE32-E72D297353CC}">
                  <c16:uniqueId val="{00000003-003E-493D-BA34-D7893ADDB914}"/>
                </c:ext>
              </c:extLst>
            </c:dLbl>
            <c:dLbl>
              <c:idx val="2"/>
              <c:delete val="1"/>
              <c:extLst>
                <c:ext xmlns:c15="http://schemas.microsoft.com/office/drawing/2012/chart" uri="{CE6537A1-D6FC-4f65-9D91-7224C49458BB}"/>
                <c:ext xmlns:c16="http://schemas.microsoft.com/office/drawing/2014/chart" uri="{C3380CC4-5D6E-409C-BE32-E72D297353CC}">
                  <c16:uniqueId val="{00000005-003E-493D-BA34-D7893ADDB914}"/>
                </c:ext>
              </c:extLst>
            </c:dLbl>
            <c:dLbl>
              <c:idx val="3"/>
              <c:delete val="1"/>
              <c:extLst>
                <c:ext xmlns:c15="http://schemas.microsoft.com/office/drawing/2012/chart" uri="{CE6537A1-D6FC-4f65-9D91-7224C49458BB}"/>
                <c:ext xmlns:c16="http://schemas.microsoft.com/office/drawing/2014/chart" uri="{C3380CC4-5D6E-409C-BE32-E72D297353CC}">
                  <c16:uniqueId val="{00000007-003E-493D-BA34-D7893ADDB914}"/>
                </c:ext>
              </c:extLst>
            </c:dLbl>
            <c:dLbl>
              <c:idx val="4"/>
              <c:delete val="1"/>
              <c:extLst>
                <c:ext xmlns:c15="http://schemas.microsoft.com/office/drawing/2012/chart" uri="{CE6537A1-D6FC-4f65-9D91-7224C49458BB}"/>
                <c:ext xmlns:c16="http://schemas.microsoft.com/office/drawing/2014/chart" uri="{C3380CC4-5D6E-409C-BE32-E72D297353CC}">
                  <c16:uniqueId val="{00000009-003E-493D-BA34-D7893ADDB914}"/>
                </c:ext>
              </c:extLst>
            </c:dLbl>
            <c:dLbl>
              <c:idx val="5"/>
              <c:delete val="1"/>
              <c:extLst>
                <c:ext xmlns:c15="http://schemas.microsoft.com/office/drawing/2012/chart" uri="{CE6537A1-D6FC-4f65-9D91-7224C49458BB}"/>
                <c:ext xmlns:c16="http://schemas.microsoft.com/office/drawing/2014/chart" uri="{C3380CC4-5D6E-409C-BE32-E72D297353CC}">
                  <c16:uniqueId val="{0000000B-003E-493D-BA34-D7893ADDB914}"/>
                </c:ext>
              </c:extLst>
            </c:dLbl>
            <c:dLbl>
              <c:idx val="6"/>
              <c:delete val="1"/>
              <c:extLst>
                <c:ext xmlns:c15="http://schemas.microsoft.com/office/drawing/2012/chart" uri="{CE6537A1-D6FC-4f65-9D91-7224C49458BB}"/>
                <c:ext xmlns:c16="http://schemas.microsoft.com/office/drawing/2014/chart" uri="{C3380CC4-5D6E-409C-BE32-E72D297353CC}">
                  <c16:uniqueId val="{0000000D-003E-493D-BA34-D7893ADDB914}"/>
                </c:ext>
              </c:extLst>
            </c:dLbl>
            <c:dLbl>
              <c:idx val="7"/>
              <c:delete val="1"/>
              <c:extLst>
                <c:ext xmlns:c15="http://schemas.microsoft.com/office/drawing/2012/chart" uri="{CE6537A1-D6FC-4f65-9D91-7224C49458BB}"/>
                <c:ext xmlns:c16="http://schemas.microsoft.com/office/drawing/2014/chart" uri="{C3380CC4-5D6E-409C-BE32-E72D297353CC}">
                  <c16:uniqueId val="{0000000F-003E-493D-BA34-D7893ADDB914}"/>
                </c:ext>
              </c:extLst>
            </c:dLbl>
            <c:dLbl>
              <c:idx val="8"/>
              <c:delete val="1"/>
              <c:extLst>
                <c:ext xmlns:c15="http://schemas.microsoft.com/office/drawing/2012/chart" uri="{CE6537A1-D6FC-4f65-9D91-7224C49458BB}"/>
                <c:ext xmlns:c16="http://schemas.microsoft.com/office/drawing/2014/chart" uri="{C3380CC4-5D6E-409C-BE32-E72D297353CC}">
                  <c16:uniqueId val="{00000011-003E-493D-BA34-D7893ADDB914}"/>
                </c:ext>
              </c:extLst>
            </c:dLbl>
            <c:dLbl>
              <c:idx val="9"/>
              <c:delete val="1"/>
              <c:extLst>
                <c:ext xmlns:c15="http://schemas.microsoft.com/office/drawing/2012/chart" uri="{CE6537A1-D6FC-4f65-9D91-7224C49458BB}"/>
                <c:ext xmlns:c16="http://schemas.microsoft.com/office/drawing/2014/chart" uri="{C3380CC4-5D6E-409C-BE32-E72D297353CC}">
                  <c16:uniqueId val="{00000013-003E-493D-BA34-D7893ADDB914}"/>
                </c:ext>
              </c:extLst>
            </c:dLbl>
            <c:dLbl>
              <c:idx val="10"/>
              <c:delete val="1"/>
              <c:extLst>
                <c:ext xmlns:c15="http://schemas.microsoft.com/office/drawing/2012/chart" uri="{CE6537A1-D6FC-4f65-9D91-7224C49458BB}"/>
                <c:ext xmlns:c16="http://schemas.microsoft.com/office/drawing/2014/chart" uri="{C3380CC4-5D6E-409C-BE32-E72D297353CC}">
                  <c16:uniqueId val="{00000015-003E-493D-BA34-D7893ADDB914}"/>
                </c:ext>
              </c:extLst>
            </c:dLbl>
            <c:dLbl>
              <c:idx val="11"/>
              <c:delete val="1"/>
              <c:extLst>
                <c:ext xmlns:c15="http://schemas.microsoft.com/office/drawing/2012/chart" uri="{CE6537A1-D6FC-4f65-9D91-7224C49458BB}"/>
                <c:ext xmlns:c16="http://schemas.microsoft.com/office/drawing/2014/chart" uri="{C3380CC4-5D6E-409C-BE32-E72D297353CC}">
                  <c16:uniqueId val="{00000017-003E-493D-BA34-D7893ADDB914}"/>
                </c:ext>
              </c:extLst>
            </c:dLbl>
            <c:dLbl>
              <c:idx val="12"/>
              <c:delete val="1"/>
              <c:extLst>
                <c:ext xmlns:c15="http://schemas.microsoft.com/office/drawing/2012/chart" uri="{CE6537A1-D6FC-4f65-9D91-7224C49458BB}"/>
                <c:ext xmlns:c16="http://schemas.microsoft.com/office/drawing/2014/chart" uri="{C3380CC4-5D6E-409C-BE32-E72D297353CC}">
                  <c16:uniqueId val="{00000019-003E-493D-BA34-D7893ADDB914}"/>
                </c:ext>
              </c:extLst>
            </c:dLbl>
            <c:dLbl>
              <c:idx val="13"/>
              <c:delete val="1"/>
              <c:extLst>
                <c:ext xmlns:c15="http://schemas.microsoft.com/office/drawing/2012/chart" uri="{CE6537A1-D6FC-4f65-9D91-7224C49458BB}"/>
                <c:ext xmlns:c16="http://schemas.microsoft.com/office/drawing/2014/chart" uri="{C3380CC4-5D6E-409C-BE32-E72D297353CC}">
                  <c16:uniqueId val="{0000001B-003E-493D-BA34-D7893ADDB914}"/>
                </c:ext>
              </c:extLst>
            </c:dLbl>
            <c:dLbl>
              <c:idx val="14"/>
              <c:delete val="1"/>
              <c:extLst>
                <c:ext xmlns:c15="http://schemas.microsoft.com/office/drawing/2012/chart" uri="{CE6537A1-D6FC-4f65-9D91-7224C49458BB}"/>
                <c:ext xmlns:c16="http://schemas.microsoft.com/office/drawing/2014/chart" uri="{C3380CC4-5D6E-409C-BE32-E72D297353CC}">
                  <c16:uniqueId val="{0000001D-003E-493D-BA34-D7893ADDB914}"/>
                </c:ext>
              </c:extLst>
            </c:dLbl>
            <c:dLbl>
              <c:idx val="15"/>
              <c:delete val="1"/>
              <c:extLst>
                <c:ext xmlns:c15="http://schemas.microsoft.com/office/drawing/2012/chart" uri="{CE6537A1-D6FC-4f65-9D91-7224C49458BB}"/>
                <c:ext xmlns:c16="http://schemas.microsoft.com/office/drawing/2014/chart" uri="{C3380CC4-5D6E-409C-BE32-E72D297353CC}">
                  <c16:uniqueId val="{0000001F-003E-493D-BA34-D7893ADDB914}"/>
                </c:ext>
              </c:extLst>
            </c:dLbl>
            <c:dLbl>
              <c:idx val="16"/>
              <c:delete val="1"/>
              <c:extLst>
                <c:ext xmlns:c15="http://schemas.microsoft.com/office/drawing/2012/chart" uri="{CE6537A1-D6FC-4f65-9D91-7224C49458BB}"/>
                <c:ext xmlns:c16="http://schemas.microsoft.com/office/drawing/2014/chart" uri="{C3380CC4-5D6E-409C-BE32-E72D297353CC}">
                  <c16:uniqueId val="{00000021-003E-493D-BA34-D7893ADDB914}"/>
                </c:ext>
              </c:extLst>
            </c:dLbl>
            <c:dLbl>
              <c:idx val="17"/>
              <c:delete val="1"/>
              <c:extLst>
                <c:ext xmlns:c15="http://schemas.microsoft.com/office/drawing/2012/chart" uri="{CE6537A1-D6FC-4f65-9D91-7224C49458BB}"/>
                <c:ext xmlns:c16="http://schemas.microsoft.com/office/drawing/2014/chart" uri="{C3380CC4-5D6E-409C-BE32-E72D297353CC}">
                  <c16:uniqueId val="{00000023-003E-493D-BA34-D7893ADDB914}"/>
                </c:ext>
              </c:extLst>
            </c:dLbl>
            <c:dLbl>
              <c:idx val="18"/>
              <c:delete val="1"/>
              <c:extLst>
                <c:ext xmlns:c15="http://schemas.microsoft.com/office/drawing/2012/chart" uri="{CE6537A1-D6FC-4f65-9D91-7224C49458BB}"/>
                <c:ext xmlns:c16="http://schemas.microsoft.com/office/drawing/2014/chart" uri="{C3380CC4-5D6E-409C-BE32-E72D297353CC}">
                  <c16:uniqueId val="{00000025-003E-493D-BA34-D7893ADDB914}"/>
                </c:ext>
              </c:extLst>
            </c:dLbl>
            <c:dLbl>
              <c:idx val="19"/>
              <c:delete val="1"/>
              <c:extLst>
                <c:ext xmlns:c15="http://schemas.microsoft.com/office/drawing/2012/chart" uri="{CE6537A1-D6FC-4f65-9D91-7224C49458BB}"/>
                <c:ext xmlns:c16="http://schemas.microsoft.com/office/drawing/2014/chart" uri="{C3380CC4-5D6E-409C-BE32-E72D297353CC}">
                  <c16:uniqueId val="{00000027-003E-493D-BA34-D7893ADDB914}"/>
                </c:ext>
              </c:extLst>
            </c:dLbl>
            <c:dLbl>
              <c:idx val="20"/>
              <c:delete val="1"/>
              <c:extLst>
                <c:ext xmlns:c15="http://schemas.microsoft.com/office/drawing/2012/chart" uri="{CE6537A1-D6FC-4f65-9D91-7224C49458BB}"/>
                <c:ext xmlns:c16="http://schemas.microsoft.com/office/drawing/2014/chart" uri="{C3380CC4-5D6E-409C-BE32-E72D297353CC}">
                  <c16:uniqueId val="{00000029-003E-493D-BA34-D7893ADDB914}"/>
                </c:ext>
              </c:extLst>
            </c:dLbl>
            <c:dLbl>
              <c:idx val="21"/>
              <c:delete val="1"/>
              <c:extLst>
                <c:ext xmlns:c15="http://schemas.microsoft.com/office/drawing/2012/chart" uri="{CE6537A1-D6FC-4f65-9D91-7224C49458BB}"/>
                <c:ext xmlns:c16="http://schemas.microsoft.com/office/drawing/2014/chart" uri="{C3380CC4-5D6E-409C-BE32-E72D297353CC}">
                  <c16:uniqueId val="{0000002B-003E-493D-BA34-D7893ADDB914}"/>
                </c:ext>
              </c:extLst>
            </c:dLbl>
            <c:dLbl>
              <c:idx val="2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003E-493D-BA34-D7893ADDB914}"/>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s>
          <c:val>
            <c:numRef>
              <c:f>'QT02BM01Bảng địnhluongLoaiKhí..'!$H$8:$H$30</c:f>
              <c:numCache>
                <c:formatCode>0.00%</c:formatCode>
                <c:ptCount val="23"/>
                <c:pt idx="0">
                  <c:v>0</c:v>
                </c:pt>
                <c:pt idx="1">
                  <c:v>0</c:v>
                </c:pt>
                <c:pt idx="2">
                  <c:v>0</c:v>
                </c:pt>
                <c:pt idx="3">
                  <c:v>0</c:v>
                </c:pt>
                <c:pt idx="4">
                  <c:v>0</c:v>
                </c:pt>
                <c:pt idx="5">
                  <c:v>0</c:v>
                </c:pt>
                <c:pt idx="6">
                  <c:v>0</c:v>
                </c:pt>
                <c:pt idx="7">
                  <c:v>0</c:v>
                </c:pt>
                <c:pt idx="8">
                  <c:v>0</c:v>
                </c:pt>
                <c:pt idx="9">
                  <c:v>0</c:v>
                </c:pt>
                <c:pt idx="10">
                  <c:v>0</c:v>
                </c:pt>
                <c:pt idx="12">
                  <c:v>0</c:v>
                </c:pt>
                <c:pt idx="13">
                  <c:v>0</c:v>
                </c:pt>
                <c:pt idx="15">
                  <c:v>0</c:v>
                </c:pt>
                <c:pt idx="16">
                  <c:v>0</c:v>
                </c:pt>
                <c:pt idx="17">
                  <c:v>0</c:v>
                </c:pt>
                <c:pt idx="18">
                  <c:v>0</c:v>
                </c:pt>
                <c:pt idx="19">
                  <c:v>0</c:v>
                </c:pt>
                <c:pt idx="20">
                  <c:v>0</c:v>
                </c:pt>
                <c:pt idx="22">
                  <c:v>0</c:v>
                </c:pt>
              </c:numCache>
            </c:numRef>
          </c:val>
          <c:extLst>
            <c:ext xmlns:c16="http://schemas.microsoft.com/office/drawing/2014/chart" uri="{C3380CC4-5D6E-409C-BE32-E72D297353CC}">
              <c16:uniqueId val="{0000002E-003E-493D-BA34-D7893ADDB914}"/>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58a4777-1013-4f70-b019-c7a612324433}"/>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vi-VN" sz="2000" b="1"/>
              <a:t>B</a:t>
            </a:r>
            <a:r>
              <a:rPr lang="en-US" sz="2000" b="1"/>
              <a:t>iểu</a:t>
            </a:r>
            <a:r>
              <a:rPr lang="en-US" sz="2000" b="1" baseline="0"/>
              <a:t> đồ</a:t>
            </a:r>
            <a:r>
              <a:rPr lang="vi-VN" sz="2000" b="1"/>
              <a:t> định lượng khí nhà kính theo tỷ lệ</a:t>
            </a:r>
          </a:p>
        </c:rich>
      </c:tx>
      <c:layout>
        <c:manualLayout>
          <c:xMode val="edge"/>
          <c:yMode val="edge"/>
          <c:x val="0.27780973994297697"/>
          <c:y val="3.1598715074902903E-2"/>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3862254312316903E-2"/>
          <c:y val="0.33032810605225399"/>
          <c:w val="0.96613774568768296"/>
          <c:h val="0.51684320606572798"/>
        </c:manualLayout>
      </c:layout>
      <c:pie3DChart>
        <c:varyColors val="1"/>
        <c:ser>
          <c:idx val="0"/>
          <c:order val="0"/>
          <c:tx>
            <c:v>Bảng định lượng khí nhà kính theo tỷ lệ</c:v>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733C-4C13-A91D-DF0758F18751}"/>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733C-4C13-A91D-DF0758F18751}"/>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733C-4C13-A91D-DF0758F18751}"/>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733C-4C13-A91D-DF0758F18751}"/>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733C-4C13-A91D-DF0758F18751}"/>
              </c:ext>
            </c:extLst>
          </c:dPt>
          <c:dPt>
            <c:idx val="5"/>
            <c:bubble3D val="0"/>
            <c:spPr>
              <a:solidFill>
                <a:schemeClr val="accent6"/>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B-733C-4C13-A91D-DF0758F18751}"/>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D-733C-4C13-A91D-DF0758F18751}"/>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F-733C-4C13-A91D-DF0758F18751}"/>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1-733C-4C13-A91D-DF0758F18751}"/>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3-733C-4C13-A91D-DF0758F18751}"/>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5-733C-4C13-A91D-DF0758F18751}"/>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7-733C-4C13-A91D-DF0758F18751}"/>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9-733C-4C13-A91D-DF0758F18751}"/>
              </c:ext>
            </c:extLst>
          </c:dPt>
          <c:dPt>
            <c:idx val="13"/>
            <c:bubble3D val="0"/>
            <c:spPr>
              <a:solidFill>
                <a:schemeClr val="accent3">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B-733C-4C13-A91D-DF0758F18751}"/>
              </c:ext>
            </c:extLst>
          </c:dPt>
          <c:dPt>
            <c:idx val="14"/>
            <c:bubble3D val="0"/>
            <c:spPr>
              <a:solidFill>
                <a:schemeClr val="accent4">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D-733C-4C13-A91D-DF0758F18751}"/>
              </c:ext>
            </c:extLst>
          </c:dPt>
          <c:dPt>
            <c:idx val="15"/>
            <c:bubble3D val="0"/>
            <c:spPr>
              <a:solidFill>
                <a:schemeClr val="accent5">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F-733C-4C13-A91D-DF0758F18751}"/>
              </c:ext>
            </c:extLst>
          </c:dPt>
          <c:dPt>
            <c:idx val="16"/>
            <c:bubble3D val="0"/>
            <c:spPr>
              <a:solidFill>
                <a:schemeClr val="accent6">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1-733C-4C13-A91D-DF0758F18751}"/>
              </c:ext>
            </c:extLst>
          </c:dPt>
          <c:dPt>
            <c:idx val="17"/>
            <c:bubble3D val="0"/>
            <c:spPr>
              <a:solidFill>
                <a:schemeClr val="accent1">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3-733C-4C13-A91D-DF0758F18751}"/>
              </c:ext>
            </c:extLst>
          </c:dPt>
          <c:dPt>
            <c:idx val="18"/>
            <c:bubble3D val="0"/>
            <c:spPr>
              <a:solidFill>
                <a:schemeClr val="accent2">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5-733C-4C13-A91D-DF0758F18751}"/>
              </c:ext>
            </c:extLst>
          </c:dPt>
          <c:dPt>
            <c:idx val="19"/>
            <c:bubble3D val="0"/>
            <c:spPr>
              <a:solidFill>
                <a:schemeClr val="accent3">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7-733C-4C13-A91D-DF0758F18751}"/>
              </c:ext>
            </c:extLst>
          </c:dPt>
          <c:dPt>
            <c:idx val="20"/>
            <c:bubble3D val="0"/>
            <c:spPr>
              <a:solidFill>
                <a:schemeClr val="accent4">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9-733C-4C13-A91D-DF0758F18751}"/>
              </c:ext>
            </c:extLst>
          </c:dPt>
          <c:dPt>
            <c:idx val="21"/>
            <c:bubble3D val="0"/>
            <c:spPr>
              <a:solidFill>
                <a:schemeClr val="accent5">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B-733C-4C13-A91D-DF0758F18751}"/>
              </c:ext>
            </c:extLst>
          </c:dPt>
          <c:dLbls>
            <c:dLbl>
              <c:idx val="0"/>
              <c:delete val="1"/>
              <c:extLst>
                <c:ext xmlns:c15="http://schemas.microsoft.com/office/drawing/2012/chart" uri="{CE6537A1-D6FC-4f65-9D91-7224C49458BB}"/>
                <c:ext xmlns:c16="http://schemas.microsoft.com/office/drawing/2014/chart" uri="{C3380CC4-5D6E-409C-BE32-E72D297353CC}">
                  <c16:uniqueId val="{00000001-733C-4C13-A91D-DF0758F18751}"/>
                </c:ext>
              </c:extLst>
            </c:dLbl>
            <c:dLbl>
              <c:idx val="1"/>
              <c:delete val="1"/>
              <c:extLst>
                <c:ext xmlns:c15="http://schemas.microsoft.com/office/drawing/2012/chart" uri="{CE6537A1-D6FC-4f65-9D91-7224C49458BB}"/>
                <c:ext xmlns:c16="http://schemas.microsoft.com/office/drawing/2014/chart" uri="{C3380CC4-5D6E-409C-BE32-E72D297353CC}">
                  <c16:uniqueId val="{00000003-733C-4C13-A91D-DF0758F18751}"/>
                </c:ext>
              </c:extLst>
            </c:dLbl>
            <c:dLbl>
              <c:idx val="2"/>
              <c:delete val="1"/>
              <c:extLst>
                <c:ext xmlns:c15="http://schemas.microsoft.com/office/drawing/2012/chart" uri="{CE6537A1-D6FC-4f65-9D91-7224C49458BB}"/>
                <c:ext xmlns:c16="http://schemas.microsoft.com/office/drawing/2014/chart" uri="{C3380CC4-5D6E-409C-BE32-E72D297353CC}">
                  <c16:uniqueId val="{00000005-733C-4C13-A91D-DF0758F18751}"/>
                </c:ext>
              </c:extLst>
            </c:dLbl>
            <c:dLbl>
              <c:idx val="3"/>
              <c:delete val="1"/>
              <c:extLst>
                <c:ext xmlns:c15="http://schemas.microsoft.com/office/drawing/2012/chart" uri="{CE6537A1-D6FC-4f65-9D91-7224C49458BB}"/>
                <c:ext xmlns:c16="http://schemas.microsoft.com/office/drawing/2014/chart" uri="{C3380CC4-5D6E-409C-BE32-E72D297353CC}">
                  <c16:uniqueId val="{00000007-733C-4C13-A91D-DF0758F18751}"/>
                </c:ext>
              </c:extLst>
            </c:dLbl>
            <c:dLbl>
              <c:idx val="4"/>
              <c:delete val="1"/>
              <c:extLst>
                <c:ext xmlns:c15="http://schemas.microsoft.com/office/drawing/2012/chart" uri="{CE6537A1-D6FC-4f65-9D91-7224C49458BB}"/>
                <c:ext xmlns:c16="http://schemas.microsoft.com/office/drawing/2014/chart" uri="{C3380CC4-5D6E-409C-BE32-E72D297353CC}">
                  <c16:uniqueId val="{00000009-733C-4C13-A91D-DF0758F18751}"/>
                </c:ext>
              </c:extLst>
            </c:dLbl>
            <c:dLbl>
              <c:idx val="5"/>
              <c:delete val="1"/>
              <c:extLst>
                <c:ext xmlns:c15="http://schemas.microsoft.com/office/drawing/2012/chart" uri="{CE6537A1-D6FC-4f65-9D91-7224C49458BB}"/>
                <c:ext xmlns:c16="http://schemas.microsoft.com/office/drawing/2014/chart" uri="{C3380CC4-5D6E-409C-BE32-E72D297353CC}">
                  <c16:uniqueId val="{0000000B-733C-4C13-A91D-DF0758F18751}"/>
                </c:ext>
              </c:extLst>
            </c:dLbl>
            <c:dLbl>
              <c:idx val="6"/>
              <c:delete val="1"/>
              <c:extLst>
                <c:ext xmlns:c15="http://schemas.microsoft.com/office/drawing/2012/chart" uri="{CE6537A1-D6FC-4f65-9D91-7224C49458BB}"/>
                <c:ext xmlns:c16="http://schemas.microsoft.com/office/drawing/2014/chart" uri="{C3380CC4-5D6E-409C-BE32-E72D297353CC}">
                  <c16:uniqueId val="{0000000D-733C-4C13-A91D-DF0758F18751}"/>
                </c:ext>
              </c:extLst>
            </c:dLbl>
            <c:dLbl>
              <c:idx val="7"/>
              <c:delete val="1"/>
              <c:extLst>
                <c:ext xmlns:c15="http://schemas.microsoft.com/office/drawing/2012/chart" uri="{CE6537A1-D6FC-4f65-9D91-7224C49458BB}"/>
                <c:ext xmlns:c16="http://schemas.microsoft.com/office/drawing/2014/chart" uri="{C3380CC4-5D6E-409C-BE32-E72D297353CC}">
                  <c16:uniqueId val="{0000000F-733C-4C13-A91D-DF0758F18751}"/>
                </c:ext>
              </c:extLst>
            </c:dLbl>
            <c:dLbl>
              <c:idx val="8"/>
              <c:delete val="1"/>
              <c:extLst>
                <c:ext xmlns:c15="http://schemas.microsoft.com/office/drawing/2012/chart" uri="{CE6537A1-D6FC-4f65-9D91-7224C49458BB}"/>
                <c:ext xmlns:c16="http://schemas.microsoft.com/office/drawing/2014/chart" uri="{C3380CC4-5D6E-409C-BE32-E72D297353CC}">
                  <c16:uniqueId val="{00000011-733C-4C13-A91D-DF0758F18751}"/>
                </c:ext>
              </c:extLst>
            </c:dLbl>
            <c:dLbl>
              <c:idx val="9"/>
              <c:delete val="1"/>
              <c:extLst>
                <c:ext xmlns:c15="http://schemas.microsoft.com/office/drawing/2012/chart" uri="{CE6537A1-D6FC-4f65-9D91-7224C49458BB}"/>
                <c:ext xmlns:c16="http://schemas.microsoft.com/office/drawing/2014/chart" uri="{C3380CC4-5D6E-409C-BE32-E72D297353CC}">
                  <c16:uniqueId val="{00000013-733C-4C13-A91D-DF0758F18751}"/>
                </c:ext>
              </c:extLst>
            </c:dLbl>
            <c:dLbl>
              <c:idx val="10"/>
              <c:delete val="1"/>
              <c:extLst>
                <c:ext xmlns:c15="http://schemas.microsoft.com/office/drawing/2012/chart" uri="{CE6537A1-D6FC-4f65-9D91-7224C49458BB}"/>
                <c:ext xmlns:c16="http://schemas.microsoft.com/office/drawing/2014/chart" uri="{C3380CC4-5D6E-409C-BE32-E72D297353CC}">
                  <c16:uniqueId val="{00000015-733C-4C13-A91D-DF0758F18751}"/>
                </c:ext>
              </c:extLst>
            </c:dLbl>
            <c:dLbl>
              <c:idx val="11"/>
              <c:delete val="1"/>
              <c:extLst>
                <c:ext xmlns:c15="http://schemas.microsoft.com/office/drawing/2012/chart" uri="{CE6537A1-D6FC-4f65-9D91-7224C49458BB}"/>
                <c:ext xmlns:c16="http://schemas.microsoft.com/office/drawing/2014/chart" uri="{C3380CC4-5D6E-409C-BE32-E72D297353CC}">
                  <c16:uniqueId val="{00000017-733C-4C13-A91D-DF0758F18751}"/>
                </c:ext>
              </c:extLst>
            </c:dLbl>
            <c:dLbl>
              <c:idx val="12"/>
              <c:delete val="1"/>
              <c:extLst>
                <c:ext xmlns:c15="http://schemas.microsoft.com/office/drawing/2012/chart" uri="{CE6537A1-D6FC-4f65-9D91-7224C49458BB}"/>
                <c:ext xmlns:c16="http://schemas.microsoft.com/office/drawing/2014/chart" uri="{C3380CC4-5D6E-409C-BE32-E72D297353CC}">
                  <c16:uniqueId val="{00000019-733C-4C13-A91D-DF0758F18751}"/>
                </c:ext>
              </c:extLst>
            </c:dLbl>
            <c:dLbl>
              <c:idx val="13"/>
              <c:delete val="1"/>
              <c:extLst>
                <c:ext xmlns:c15="http://schemas.microsoft.com/office/drawing/2012/chart" uri="{CE6537A1-D6FC-4f65-9D91-7224C49458BB}"/>
                <c:ext xmlns:c16="http://schemas.microsoft.com/office/drawing/2014/chart" uri="{C3380CC4-5D6E-409C-BE32-E72D297353CC}">
                  <c16:uniqueId val="{0000001B-733C-4C13-A91D-DF0758F18751}"/>
                </c:ext>
              </c:extLst>
            </c:dLbl>
            <c:dLbl>
              <c:idx val="14"/>
              <c:delete val="1"/>
              <c:extLst>
                <c:ext xmlns:c15="http://schemas.microsoft.com/office/drawing/2012/chart" uri="{CE6537A1-D6FC-4f65-9D91-7224C49458BB}"/>
                <c:ext xmlns:c16="http://schemas.microsoft.com/office/drawing/2014/chart" uri="{C3380CC4-5D6E-409C-BE32-E72D297353CC}">
                  <c16:uniqueId val="{0000001D-733C-4C13-A91D-DF0758F18751}"/>
                </c:ext>
              </c:extLst>
            </c:dLbl>
            <c:dLbl>
              <c:idx val="15"/>
              <c:delete val="1"/>
              <c:extLst>
                <c:ext xmlns:c15="http://schemas.microsoft.com/office/drawing/2012/chart" uri="{CE6537A1-D6FC-4f65-9D91-7224C49458BB}"/>
                <c:ext xmlns:c16="http://schemas.microsoft.com/office/drawing/2014/chart" uri="{C3380CC4-5D6E-409C-BE32-E72D297353CC}">
                  <c16:uniqueId val="{0000001F-733C-4C13-A91D-DF0758F18751}"/>
                </c:ext>
              </c:extLst>
            </c:dLbl>
            <c:dLbl>
              <c:idx val="16"/>
              <c:delete val="1"/>
              <c:extLst>
                <c:ext xmlns:c15="http://schemas.microsoft.com/office/drawing/2012/chart" uri="{CE6537A1-D6FC-4f65-9D91-7224C49458BB}"/>
                <c:ext xmlns:c16="http://schemas.microsoft.com/office/drawing/2014/chart" uri="{C3380CC4-5D6E-409C-BE32-E72D297353CC}">
                  <c16:uniqueId val="{00000021-733C-4C13-A91D-DF0758F18751}"/>
                </c:ext>
              </c:extLst>
            </c:dLbl>
            <c:dLbl>
              <c:idx val="17"/>
              <c:delete val="1"/>
              <c:extLst>
                <c:ext xmlns:c15="http://schemas.microsoft.com/office/drawing/2012/chart" uri="{CE6537A1-D6FC-4f65-9D91-7224C49458BB}"/>
                <c:ext xmlns:c16="http://schemas.microsoft.com/office/drawing/2014/chart" uri="{C3380CC4-5D6E-409C-BE32-E72D297353CC}">
                  <c16:uniqueId val="{00000023-733C-4C13-A91D-DF0758F18751}"/>
                </c:ext>
              </c:extLst>
            </c:dLbl>
            <c:dLbl>
              <c:idx val="18"/>
              <c:delete val="1"/>
              <c:extLst>
                <c:ext xmlns:c15="http://schemas.microsoft.com/office/drawing/2012/chart" uri="{CE6537A1-D6FC-4f65-9D91-7224C49458BB}"/>
                <c:ext xmlns:c16="http://schemas.microsoft.com/office/drawing/2014/chart" uri="{C3380CC4-5D6E-409C-BE32-E72D297353CC}">
                  <c16:uniqueId val="{00000025-733C-4C13-A91D-DF0758F18751}"/>
                </c:ext>
              </c:extLst>
            </c:dLbl>
            <c:dLbl>
              <c:idx val="19"/>
              <c:delete val="1"/>
              <c:extLst>
                <c:ext xmlns:c15="http://schemas.microsoft.com/office/drawing/2012/chart" uri="{CE6537A1-D6FC-4f65-9D91-7224C49458BB}"/>
                <c:ext xmlns:c16="http://schemas.microsoft.com/office/drawing/2014/chart" uri="{C3380CC4-5D6E-409C-BE32-E72D297353CC}">
                  <c16:uniqueId val="{00000027-733C-4C13-A91D-DF0758F18751}"/>
                </c:ext>
              </c:extLst>
            </c:dLbl>
            <c:dLbl>
              <c:idx val="20"/>
              <c:delete val="1"/>
              <c:extLst>
                <c:ext xmlns:c15="http://schemas.microsoft.com/office/drawing/2012/chart" uri="{CE6537A1-D6FC-4f65-9D91-7224C49458BB}"/>
                <c:ext xmlns:c16="http://schemas.microsoft.com/office/drawing/2014/chart" uri="{C3380CC4-5D6E-409C-BE32-E72D297353CC}">
                  <c16:uniqueId val="{00000029-733C-4C13-A91D-DF0758F18751}"/>
                </c:ext>
              </c:extLst>
            </c:dLbl>
            <c:dLbl>
              <c:idx val="2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733C-4C13-A91D-DF0758F18751}"/>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s>
          <c:val>
            <c:numRef>
              <c:f>'QT02BM01Bảng địnhluong Loai'!$H$8:$H$28</c:f>
              <c:numCache>
                <c:formatCode>0.00%</c:formatCode>
                <c:ptCount val="21"/>
                <c:pt idx="0">
                  <c:v>5.6668696862291078E-5</c:v>
                </c:pt>
                <c:pt idx="1">
                  <c:v>4.9404657812041281E-3</c:v>
                </c:pt>
                <c:pt idx="2">
                  <c:v>3.6960057359864329E-4</c:v>
                </c:pt>
                <c:pt idx="3">
                  <c:v>1.6266638926833763E-5</c:v>
                </c:pt>
                <c:pt idx="4">
                  <c:v>2.0556233677281644E-5</c:v>
                </c:pt>
                <c:pt idx="5">
                  <c:v>3.0319427200627729E-2</c:v>
                </c:pt>
                <c:pt idx="6">
                  <c:v>6.4744298802340891E-5</c:v>
                </c:pt>
                <c:pt idx="7">
                  <c:v>5.8801158052452195E-4</c:v>
                </c:pt>
                <c:pt idx="8">
                  <c:v>3.4908810121770301E-3</c:v>
                </c:pt>
                <c:pt idx="9">
                  <c:v>6.9947128843787544E-3</c:v>
                </c:pt>
                <c:pt idx="11">
                  <c:v>2.6923260424741142E-3</c:v>
                </c:pt>
                <c:pt idx="12">
                  <c:v>1.4042643621010277E-2</c:v>
                </c:pt>
                <c:pt idx="13">
                  <c:v>7.0160619219513905E-4</c:v>
                </c:pt>
                <c:pt idx="15">
                  <c:v>4.3772046566752663E-7</c:v>
                </c:pt>
                <c:pt idx="16">
                  <c:v>7.449422641801366E-4</c:v>
                </c:pt>
                <c:pt idx="17">
                  <c:v>1.573697381149616E-3</c:v>
                </c:pt>
                <c:pt idx="18">
                  <c:v>3.2988743743618837E-6</c:v>
                </c:pt>
                <c:pt idx="20">
                  <c:v>0.93337971300337119</c:v>
                </c:pt>
              </c:numCache>
            </c:numRef>
          </c:val>
          <c:extLst>
            <c:ext xmlns:c16="http://schemas.microsoft.com/office/drawing/2014/chart" uri="{C3380CC4-5D6E-409C-BE32-E72D297353CC}">
              <c16:uniqueId val="{0000002C-733C-4C13-A91D-DF0758F18751}"/>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14f773e-37e9-456a-ab8f-a5a4971732e0}"/>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vi-VN" sz="2000" b="1"/>
              <a:t>B</a:t>
            </a:r>
            <a:r>
              <a:rPr lang="en-US" sz="2000" b="1"/>
              <a:t>iểu</a:t>
            </a:r>
            <a:r>
              <a:rPr lang="en-US" sz="2000" b="1" baseline="0"/>
              <a:t> đồ</a:t>
            </a:r>
            <a:r>
              <a:rPr lang="vi-VN" sz="2000" b="1"/>
              <a:t> định lượng khí nhà kính theo tỷ lệ</a:t>
            </a:r>
          </a:p>
        </c:rich>
      </c:tx>
      <c:layout>
        <c:manualLayout>
          <c:xMode val="edge"/>
          <c:yMode val="edge"/>
          <c:x val="0.27780973994297697"/>
          <c:y val="3.1598715074902903E-2"/>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3862254312316903E-2"/>
          <c:y val="0.33032810605225399"/>
          <c:w val="0.96613774568768296"/>
          <c:h val="0.51684320606572798"/>
        </c:manualLayout>
      </c:layout>
      <c:pie3DChart>
        <c:varyColors val="1"/>
        <c:ser>
          <c:idx val="0"/>
          <c:order val="0"/>
          <c:tx>
            <c:v>Bảng định lượng khí nhà kính theo tỷ lệ</c:v>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4B44-44E1-8CE8-E75D750D6E9D}"/>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4B44-44E1-8CE8-E75D750D6E9D}"/>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4B44-44E1-8CE8-E75D750D6E9D}"/>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4B44-44E1-8CE8-E75D750D6E9D}"/>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4B44-44E1-8CE8-E75D750D6E9D}"/>
              </c:ext>
            </c:extLst>
          </c:dPt>
          <c:dPt>
            <c:idx val="5"/>
            <c:bubble3D val="0"/>
            <c:spPr>
              <a:solidFill>
                <a:schemeClr val="accent6"/>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B-4B44-44E1-8CE8-E75D750D6E9D}"/>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D-4B44-44E1-8CE8-E75D750D6E9D}"/>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F-4B44-44E1-8CE8-E75D750D6E9D}"/>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1-4B44-44E1-8CE8-E75D750D6E9D}"/>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3-4B44-44E1-8CE8-E75D750D6E9D}"/>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5-4B44-44E1-8CE8-E75D750D6E9D}"/>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7-4B44-44E1-8CE8-E75D750D6E9D}"/>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9-4B44-44E1-8CE8-E75D750D6E9D}"/>
              </c:ext>
            </c:extLst>
          </c:dPt>
          <c:dPt>
            <c:idx val="13"/>
            <c:bubble3D val="0"/>
            <c:spPr>
              <a:solidFill>
                <a:schemeClr val="accent3">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B-4B44-44E1-8CE8-E75D750D6E9D}"/>
              </c:ext>
            </c:extLst>
          </c:dPt>
          <c:dPt>
            <c:idx val="14"/>
            <c:bubble3D val="0"/>
            <c:spPr>
              <a:solidFill>
                <a:schemeClr val="accent4">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D-4B44-44E1-8CE8-E75D750D6E9D}"/>
              </c:ext>
            </c:extLst>
          </c:dPt>
          <c:dPt>
            <c:idx val="15"/>
            <c:bubble3D val="0"/>
            <c:spPr>
              <a:solidFill>
                <a:schemeClr val="accent5">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F-4B44-44E1-8CE8-E75D750D6E9D}"/>
              </c:ext>
            </c:extLst>
          </c:dPt>
          <c:dPt>
            <c:idx val="16"/>
            <c:bubble3D val="0"/>
            <c:spPr>
              <a:solidFill>
                <a:schemeClr val="accent6">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1-4B44-44E1-8CE8-E75D750D6E9D}"/>
              </c:ext>
            </c:extLst>
          </c:dPt>
          <c:dPt>
            <c:idx val="17"/>
            <c:bubble3D val="0"/>
            <c:spPr>
              <a:solidFill>
                <a:schemeClr val="accent1">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3-4B44-44E1-8CE8-E75D750D6E9D}"/>
              </c:ext>
            </c:extLst>
          </c:dPt>
          <c:dPt>
            <c:idx val="18"/>
            <c:bubble3D val="0"/>
            <c:spPr>
              <a:solidFill>
                <a:schemeClr val="accent2">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5-4B44-44E1-8CE8-E75D750D6E9D}"/>
              </c:ext>
            </c:extLst>
          </c:dPt>
          <c:dPt>
            <c:idx val="19"/>
            <c:bubble3D val="0"/>
            <c:spPr>
              <a:solidFill>
                <a:schemeClr val="accent3">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7-4B44-44E1-8CE8-E75D750D6E9D}"/>
              </c:ext>
            </c:extLst>
          </c:dPt>
          <c:dPt>
            <c:idx val="20"/>
            <c:bubble3D val="0"/>
            <c:spPr>
              <a:solidFill>
                <a:schemeClr val="accent4">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9-4B44-44E1-8CE8-E75D750D6E9D}"/>
              </c:ext>
            </c:extLst>
          </c:dPt>
          <c:dPt>
            <c:idx val="21"/>
            <c:bubble3D val="0"/>
            <c:spPr>
              <a:solidFill>
                <a:schemeClr val="accent5">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B-4B44-44E1-8CE8-E75D750D6E9D}"/>
              </c:ext>
            </c:extLst>
          </c:dPt>
          <c:dLbls>
            <c:dLbl>
              <c:idx val="0"/>
              <c:delete val="1"/>
              <c:extLst>
                <c:ext xmlns:c15="http://schemas.microsoft.com/office/drawing/2012/chart" uri="{CE6537A1-D6FC-4f65-9D91-7224C49458BB}"/>
                <c:ext xmlns:c16="http://schemas.microsoft.com/office/drawing/2014/chart" uri="{C3380CC4-5D6E-409C-BE32-E72D297353CC}">
                  <c16:uniqueId val="{00000001-4B44-44E1-8CE8-E75D750D6E9D}"/>
                </c:ext>
              </c:extLst>
            </c:dLbl>
            <c:dLbl>
              <c:idx val="1"/>
              <c:delete val="1"/>
              <c:extLst>
                <c:ext xmlns:c15="http://schemas.microsoft.com/office/drawing/2012/chart" uri="{CE6537A1-D6FC-4f65-9D91-7224C49458BB}"/>
                <c:ext xmlns:c16="http://schemas.microsoft.com/office/drawing/2014/chart" uri="{C3380CC4-5D6E-409C-BE32-E72D297353CC}">
                  <c16:uniqueId val="{00000003-4B44-44E1-8CE8-E75D750D6E9D}"/>
                </c:ext>
              </c:extLst>
            </c:dLbl>
            <c:dLbl>
              <c:idx val="2"/>
              <c:delete val="1"/>
              <c:extLst>
                <c:ext xmlns:c15="http://schemas.microsoft.com/office/drawing/2012/chart" uri="{CE6537A1-D6FC-4f65-9D91-7224C49458BB}"/>
                <c:ext xmlns:c16="http://schemas.microsoft.com/office/drawing/2014/chart" uri="{C3380CC4-5D6E-409C-BE32-E72D297353CC}">
                  <c16:uniqueId val="{00000005-4B44-44E1-8CE8-E75D750D6E9D}"/>
                </c:ext>
              </c:extLst>
            </c:dLbl>
            <c:dLbl>
              <c:idx val="3"/>
              <c:delete val="1"/>
              <c:extLst>
                <c:ext xmlns:c15="http://schemas.microsoft.com/office/drawing/2012/chart" uri="{CE6537A1-D6FC-4f65-9D91-7224C49458BB}"/>
                <c:ext xmlns:c16="http://schemas.microsoft.com/office/drawing/2014/chart" uri="{C3380CC4-5D6E-409C-BE32-E72D297353CC}">
                  <c16:uniqueId val="{00000007-4B44-44E1-8CE8-E75D750D6E9D}"/>
                </c:ext>
              </c:extLst>
            </c:dLbl>
            <c:dLbl>
              <c:idx val="4"/>
              <c:delete val="1"/>
              <c:extLst>
                <c:ext xmlns:c15="http://schemas.microsoft.com/office/drawing/2012/chart" uri="{CE6537A1-D6FC-4f65-9D91-7224C49458BB}"/>
                <c:ext xmlns:c16="http://schemas.microsoft.com/office/drawing/2014/chart" uri="{C3380CC4-5D6E-409C-BE32-E72D297353CC}">
                  <c16:uniqueId val="{00000009-4B44-44E1-8CE8-E75D750D6E9D}"/>
                </c:ext>
              </c:extLst>
            </c:dLbl>
            <c:dLbl>
              <c:idx val="5"/>
              <c:delete val="1"/>
              <c:extLst>
                <c:ext xmlns:c15="http://schemas.microsoft.com/office/drawing/2012/chart" uri="{CE6537A1-D6FC-4f65-9D91-7224C49458BB}"/>
                <c:ext xmlns:c16="http://schemas.microsoft.com/office/drawing/2014/chart" uri="{C3380CC4-5D6E-409C-BE32-E72D297353CC}">
                  <c16:uniqueId val="{0000000B-4B44-44E1-8CE8-E75D750D6E9D}"/>
                </c:ext>
              </c:extLst>
            </c:dLbl>
            <c:dLbl>
              <c:idx val="6"/>
              <c:delete val="1"/>
              <c:extLst>
                <c:ext xmlns:c15="http://schemas.microsoft.com/office/drawing/2012/chart" uri="{CE6537A1-D6FC-4f65-9D91-7224C49458BB}"/>
                <c:ext xmlns:c16="http://schemas.microsoft.com/office/drawing/2014/chart" uri="{C3380CC4-5D6E-409C-BE32-E72D297353CC}">
                  <c16:uniqueId val="{0000000D-4B44-44E1-8CE8-E75D750D6E9D}"/>
                </c:ext>
              </c:extLst>
            </c:dLbl>
            <c:dLbl>
              <c:idx val="7"/>
              <c:delete val="1"/>
              <c:extLst>
                <c:ext xmlns:c15="http://schemas.microsoft.com/office/drawing/2012/chart" uri="{CE6537A1-D6FC-4f65-9D91-7224C49458BB}"/>
                <c:ext xmlns:c16="http://schemas.microsoft.com/office/drawing/2014/chart" uri="{C3380CC4-5D6E-409C-BE32-E72D297353CC}">
                  <c16:uniqueId val="{0000000F-4B44-44E1-8CE8-E75D750D6E9D}"/>
                </c:ext>
              </c:extLst>
            </c:dLbl>
            <c:dLbl>
              <c:idx val="8"/>
              <c:delete val="1"/>
              <c:extLst>
                <c:ext xmlns:c15="http://schemas.microsoft.com/office/drawing/2012/chart" uri="{CE6537A1-D6FC-4f65-9D91-7224C49458BB}"/>
                <c:ext xmlns:c16="http://schemas.microsoft.com/office/drawing/2014/chart" uri="{C3380CC4-5D6E-409C-BE32-E72D297353CC}">
                  <c16:uniqueId val="{00000011-4B44-44E1-8CE8-E75D750D6E9D}"/>
                </c:ext>
              </c:extLst>
            </c:dLbl>
            <c:dLbl>
              <c:idx val="9"/>
              <c:delete val="1"/>
              <c:extLst>
                <c:ext xmlns:c15="http://schemas.microsoft.com/office/drawing/2012/chart" uri="{CE6537A1-D6FC-4f65-9D91-7224C49458BB}"/>
                <c:ext xmlns:c16="http://schemas.microsoft.com/office/drawing/2014/chart" uri="{C3380CC4-5D6E-409C-BE32-E72D297353CC}">
                  <c16:uniqueId val="{00000013-4B44-44E1-8CE8-E75D750D6E9D}"/>
                </c:ext>
              </c:extLst>
            </c:dLbl>
            <c:dLbl>
              <c:idx val="10"/>
              <c:delete val="1"/>
              <c:extLst>
                <c:ext xmlns:c15="http://schemas.microsoft.com/office/drawing/2012/chart" uri="{CE6537A1-D6FC-4f65-9D91-7224C49458BB}"/>
                <c:ext xmlns:c16="http://schemas.microsoft.com/office/drawing/2014/chart" uri="{C3380CC4-5D6E-409C-BE32-E72D297353CC}">
                  <c16:uniqueId val="{00000015-4B44-44E1-8CE8-E75D750D6E9D}"/>
                </c:ext>
              </c:extLst>
            </c:dLbl>
            <c:dLbl>
              <c:idx val="11"/>
              <c:delete val="1"/>
              <c:extLst>
                <c:ext xmlns:c15="http://schemas.microsoft.com/office/drawing/2012/chart" uri="{CE6537A1-D6FC-4f65-9D91-7224C49458BB}"/>
                <c:ext xmlns:c16="http://schemas.microsoft.com/office/drawing/2014/chart" uri="{C3380CC4-5D6E-409C-BE32-E72D297353CC}">
                  <c16:uniqueId val="{00000017-4B44-44E1-8CE8-E75D750D6E9D}"/>
                </c:ext>
              </c:extLst>
            </c:dLbl>
            <c:dLbl>
              <c:idx val="12"/>
              <c:delete val="1"/>
              <c:extLst>
                <c:ext xmlns:c15="http://schemas.microsoft.com/office/drawing/2012/chart" uri="{CE6537A1-D6FC-4f65-9D91-7224C49458BB}"/>
                <c:ext xmlns:c16="http://schemas.microsoft.com/office/drawing/2014/chart" uri="{C3380CC4-5D6E-409C-BE32-E72D297353CC}">
                  <c16:uniqueId val="{00000019-4B44-44E1-8CE8-E75D750D6E9D}"/>
                </c:ext>
              </c:extLst>
            </c:dLbl>
            <c:dLbl>
              <c:idx val="13"/>
              <c:delete val="1"/>
              <c:extLst>
                <c:ext xmlns:c15="http://schemas.microsoft.com/office/drawing/2012/chart" uri="{CE6537A1-D6FC-4f65-9D91-7224C49458BB}"/>
                <c:ext xmlns:c16="http://schemas.microsoft.com/office/drawing/2014/chart" uri="{C3380CC4-5D6E-409C-BE32-E72D297353CC}">
                  <c16:uniqueId val="{0000001B-4B44-44E1-8CE8-E75D750D6E9D}"/>
                </c:ext>
              </c:extLst>
            </c:dLbl>
            <c:dLbl>
              <c:idx val="14"/>
              <c:delete val="1"/>
              <c:extLst>
                <c:ext xmlns:c15="http://schemas.microsoft.com/office/drawing/2012/chart" uri="{CE6537A1-D6FC-4f65-9D91-7224C49458BB}"/>
                <c:ext xmlns:c16="http://schemas.microsoft.com/office/drawing/2014/chart" uri="{C3380CC4-5D6E-409C-BE32-E72D297353CC}">
                  <c16:uniqueId val="{0000001D-4B44-44E1-8CE8-E75D750D6E9D}"/>
                </c:ext>
              </c:extLst>
            </c:dLbl>
            <c:dLbl>
              <c:idx val="15"/>
              <c:delete val="1"/>
              <c:extLst>
                <c:ext xmlns:c15="http://schemas.microsoft.com/office/drawing/2012/chart" uri="{CE6537A1-D6FC-4f65-9D91-7224C49458BB}"/>
                <c:ext xmlns:c16="http://schemas.microsoft.com/office/drawing/2014/chart" uri="{C3380CC4-5D6E-409C-BE32-E72D297353CC}">
                  <c16:uniqueId val="{0000001F-4B44-44E1-8CE8-E75D750D6E9D}"/>
                </c:ext>
              </c:extLst>
            </c:dLbl>
            <c:dLbl>
              <c:idx val="16"/>
              <c:delete val="1"/>
              <c:extLst>
                <c:ext xmlns:c15="http://schemas.microsoft.com/office/drawing/2012/chart" uri="{CE6537A1-D6FC-4f65-9D91-7224C49458BB}"/>
                <c:ext xmlns:c16="http://schemas.microsoft.com/office/drawing/2014/chart" uri="{C3380CC4-5D6E-409C-BE32-E72D297353CC}">
                  <c16:uniqueId val="{00000021-4B44-44E1-8CE8-E75D750D6E9D}"/>
                </c:ext>
              </c:extLst>
            </c:dLbl>
            <c:dLbl>
              <c:idx val="17"/>
              <c:delete val="1"/>
              <c:extLst>
                <c:ext xmlns:c15="http://schemas.microsoft.com/office/drawing/2012/chart" uri="{CE6537A1-D6FC-4f65-9D91-7224C49458BB}"/>
                <c:ext xmlns:c16="http://schemas.microsoft.com/office/drawing/2014/chart" uri="{C3380CC4-5D6E-409C-BE32-E72D297353CC}">
                  <c16:uniqueId val="{00000023-4B44-44E1-8CE8-E75D750D6E9D}"/>
                </c:ext>
              </c:extLst>
            </c:dLbl>
            <c:dLbl>
              <c:idx val="18"/>
              <c:delete val="1"/>
              <c:extLst>
                <c:ext xmlns:c15="http://schemas.microsoft.com/office/drawing/2012/chart" uri="{CE6537A1-D6FC-4f65-9D91-7224C49458BB}"/>
                <c:ext xmlns:c16="http://schemas.microsoft.com/office/drawing/2014/chart" uri="{C3380CC4-5D6E-409C-BE32-E72D297353CC}">
                  <c16:uniqueId val="{00000025-4B44-44E1-8CE8-E75D750D6E9D}"/>
                </c:ext>
              </c:extLst>
            </c:dLbl>
            <c:dLbl>
              <c:idx val="19"/>
              <c:delete val="1"/>
              <c:extLst>
                <c:ext xmlns:c15="http://schemas.microsoft.com/office/drawing/2012/chart" uri="{CE6537A1-D6FC-4f65-9D91-7224C49458BB}"/>
                <c:ext xmlns:c16="http://schemas.microsoft.com/office/drawing/2014/chart" uri="{C3380CC4-5D6E-409C-BE32-E72D297353CC}">
                  <c16:uniqueId val="{00000027-4B44-44E1-8CE8-E75D750D6E9D}"/>
                </c:ext>
              </c:extLst>
            </c:dLbl>
            <c:dLbl>
              <c:idx val="20"/>
              <c:delete val="1"/>
              <c:extLst>
                <c:ext xmlns:c15="http://schemas.microsoft.com/office/drawing/2012/chart" uri="{CE6537A1-D6FC-4f65-9D91-7224C49458BB}"/>
                <c:ext xmlns:c16="http://schemas.microsoft.com/office/drawing/2014/chart" uri="{C3380CC4-5D6E-409C-BE32-E72D297353CC}">
                  <c16:uniqueId val="{00000029-4B44-44E1-8CE8-E75D750D6E9D}"/>
                </c:ext>
              </c:extLst>
            </c:dLbl>
            <c:dLbl>
              <c:idx val="2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4B44-44E1-8CE8-E75D750D6E9D}"/>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s>
          <c:val>
            <c:numRef>
              <c:f>'QT02BM01Bảng địnhluong Loai'!$H$8:$H$28</c:f>
              <c:numCache>
                <c:formatCode>0.00%</c:formatCode>
                <c:ptCount val="21"/>
                <c:pt idx="0">
                  <c:v>5.6668696862291078E-5</c:v>
                </c:pt>
                <c:pt idx="1">
                  <c:v>4.9404657812041281E-3</c:v>
                </c:pt>
                <c:pt idx="2">
                  <c:v>3.6960057359864329E-4</c:v>
                </c:pt>
                <c:pt idx="3">
                  <c:v>1.6266638926833763E-5</c:v>
                </c:pt>
                <c:pt idx="4">
                  <c:v>2.0556233677281644E-5</c:v>
                </c:pt>
                <c:pt idx="5">
                  <c:v>3.0319427200627729E-2</c:v>
                </c:pt>
                <c:pt idx="6">
                  <c:v>6.4744298802340891E-5</c:v>
                </c:pt>
                <c:pt idx="7">
                  <c:v>5.8801158052452195E-4</c:v>
                </c:pt>
                <c:pt idx="8">
                  <c:v>3.4908810121770301E-3</c:v>
                </c:pt>
                <c:pt idx="9">
                  <c:v>6.9947128843787544E-3</c:v>
                </c:pt>
                <c:pt idx="11">
                  <c:v>2.6923260424741142E-3</c:v>
                </c:pt>
                <c:pt idx="12">
                  <c:v>1.4042643621010277E-2</c:v>
                </c:pt>
                <c:pt idx="13">
                  <c:v>7.0160619219513905E-4</c:v>
                </c:pt>
                <c:pt idx="15">
                  <c:v>4.3772046566752663E-7</c:v>
                </c:pt>
                <c:pt idx="16">
                  <c:v>7.449422641801366E-4</c:v>
                </c:pt>
                <c:pt idx="17">
                  <c:v>1.573697381149616E-3</c:v>
                </c:pt>
                <c:pt idx="18">
                  <c:v>3.2988743743618837E-6</c:v>
                </c:pt>
                <c:pt idx="20">
                  <c:v>0.93337971300337119</c:v>
                </c:pt>
              </c:numCache>
            </c:numRef>
          </c:val>
          <c:extLst>
            <c:ext xmlns:c16="http://schemas.microsoft.com/office/drawing/2014/chart" uri="{C3380CC4-5D6E-409C-BE32-E72D297353CC}">
              <c16:uniqueId val="{0000002C-4B44-44E1-8CE8-E75D750D6E9D}"/>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210a1a0-150c-429d-8fe2-844ce21341ef}"/>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vi-VN" sz="2000" b="1"/>
              <a:t>B</a:t>
            </a:r>
            <a:r>
              <a:rPr lang="en-US" sz="2000" b="1"/>
              <a:t>iểu</a:t>
            </a:r>
            <a:r>
              <a:rPr lang="en-US" sz="2000" b="1" baseline="0"/>
              <a:t> đồ</a:t>
            </a:r>
            <a:r>
              <a:rPr lang="vi-VN" sz="2000" b="1"/>
              <a:t> định lượng khí nhà kính theo tỷ lệ</a:t>
            </a:r>
          </a:p>
        </c:rich>
      </c:tx>
      <c:layout>
        <c:manualLayout>
          <c:xMode val="edge"/>
          <c:yMode val="edge"/>
          <c:x val="0.27780973994297697"/>
          <c:y val="3.1598715074902903E-2"/>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3862254312316903E-2"/>
          <c:y val="0.33032810605225399"/>
          <c:w val="0.96613774568768296"/>
          <c:h val="0.51684320606572798"/>
        </c:manualLayout>
      </c:layout>
      <c:pie3DChart>
        <c:varyColors val="1"/>
        <c:ser>
          <c:idx val="0"/>
          <c:order val="0"/>
          <c:tx>
            <c:v>Bảng định lượng khí nhà kính theo tỷ lệ</c:v>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E7EF-454B-92CE-79613ECE3644}"/>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E7EF-454B-92CE-79613ECE3644}"/>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E7EF-454B-92CE-79613ECE3644}"/>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E7EF-454B-92CE-79613ECE3644}"/>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E7EF-454B-92CE-79613ECE3644}"/>
              </c:ext>
            </c:extLst>
          </c:dPt>
          <c:dPt>
            <c:idx val="5"/>
            <c:bubble3D val="0"/>
            <c:spPr>
              <a:solidFill>
                <a:schemeClr val="accent6"/>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B-E7EF-454B-92CE-79613ECE3644}"/>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D-E7EF-454B-92CE-79613ECE3644}"/>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F-E7EF-454B-92CE-79613ECE3644}"/>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1-E7EF-454B-92CE-79613ECE3644}"/>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3-E7EF-454B-92CE-79613ECE3644}"/>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5-E7EF-454B-92CE-79613ECE3644}"/>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7-E7EF-454B-92CE-79613ECE3644}"/>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9-E7EF-454B-92CE-79613ECE3644}"/>
              </c:ext>
            </c:extLst>
          </c:dPt>
          <c:dPt>
            <c:idx val="13"/>
            <c:bubble3D val="0"/>
            <c:spPr>
              <a:solidFill>
                <a:schemeClr val="accent3">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B-E7EF-454B-92CE-79613ECE3644}"/>
              </c:ext>
            </c:extLst>
          </c:dPt>
          <c:dPt>
            <c:idx val="14"/>
            <c:bubble3D val="0"/>
            <c:spPr>
              <a:solidFill>
                <a:schemeClr val="accent4">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D-E7EF-454B-92CE-79613ECE3644}"/>
              </c:ext>
            </c:extLst>
          </c:dPt>
          <c:dPt>
            <c:idx val="15"/>
            <c:bubble3D val="0"/>
            <c:spPr>
              <a:solidFill>
                <a:schemeClr val="accent5">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F-E7EF-454B-92CE-79613ECE3644}"/>
              </c:ext>
            </c:extLst>
          </c:dPt>
          <c:dPt>
            <c:idx val="16"/>
            <c:bubble3D val="0"/>
            <c:spPr>
              <a:solidFill>
                <a:schemeClr val="accent6">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1-E7EF-454B-92CE-79613ECE3644}"/>
              </c:ext>
            </c:extLst>
          </c:dPt>
          <c:dPt>
            <c:idx val="17"/>
            <c:bubble3D val="0"/>
            <c:spPr>
              <a:solidFill>
                <a:schemeClr val="accent1">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3-E7EF-454B-92CE-79613ECE3644}"/>
              </c:ext>
            </c:extLst>
          </c:dPt>
          <c:dPt>
            <c:idx val="18"/>
            <c:bubble3D val="0"/>
            <c:spPr>
              <a:solidFill>
                <a:schemeClr val="accent2">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5-E7EF-454B-92CE-79613ECE3644}"/>
              </c:ext>
            </c:extLst>
          </c:dPt>
          <c:dPt>
            <c:idx val="19"/>
            <c:bubble3D val="0"/>
            <c:spPr>
              <a:solidFill>
                <a:schemeClr val="accent3">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7-E7EF-454B-92CE-79613ECE3644}"/>
              </c:ext>
            </c:extLst>
          </c:dPt>
          <c:dPt>
            <c:idx val="20"/>
            <c:bubble3D val="0"/>
            <c:spPr>
              <a:solidFill>
                <a:schemeClr val="accent4">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9-E7EF-454B-92CE-79613ECE3644}"/>
              </c:ext>
            </c:extLst>
          </c:dPt>
          <c:dPt>
            <c:idx val="21"/>
            <c:bubble3D val="0"/>
            <c:spPr>
              <a:solidFill>
                <a:schemeClr val="accent5">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B-E7EF-454B-92CE-79613ECE3644}"/>
              </c:ext>
            </c:extLst>
          </c:dPt>
          <c:dLbls>
            <c:dLbl>
              <c:idx val="0"/>
              <c:delete val="1"/>
              <c:extLst>
                <c:ext xmlns:c15="http://schemas.microsoft.com/office/drawing/2012/chart" uri="{CE6537A1-D6FC-4f65-9D91-7224C49458BB}"/>
                <c:ext xmlns:c16="http://schemas.microsoft.com/office/drawing/2014/chart" uri="{C3380CC4-5D6E-409C-BE32-E72D297353CC}">
                  <c16:uniqueId val="{00000001-E7EF-454B-92CE-79613ECE3644}"/>
                </c:ext>
              </c:extLst>
            </c:dLbl>
            <c:dLbl>
              <c:idx val="1"/>
              <c:delete val="1"/>
              <c:extLst>
                <c:ext xmlns:c15="http://schemas.microsoft.com/office/drawing/2012/chart" uri="{CE6537A1-D6FC-4f65-9D91-7224C49458BB}"/>
                <c:ext xmlns:c16="http://schemas.microsoft.com/office/drawing/2014/chart" uri="{C3380CC4-5D6E-409C-BE32-E72D297353CC}">
                  <c16:uniqueId val="{00000003-E7EF-454B-92CE-79613ECE3644}"/>
                </c:ext>
              </c:extLst>
            </c:dLbl>
            <c:dLbl>
              <c:idx val="2"/>
              <c:delete val="1"/>
              <c:extLst>
                <c:ext xmlns:c15="http://schemas.microsoft.com/office/drawing/2012/chart" uri="{CE6537A1-D6FC-4f65-9D91-7224C49458BB}"/>
                <c:ext xmlns:c16="http://schemas.microsoft.com/office/drawing/2014/chart" uri="{C3380CC4-5D6E-409C-BE32-E72D297353CC}">
                  <c16:uniqueId val="{00000005-E7EF-454B-92CE-79613ECE3644}"/>
                </c:ext>
              </c:extLst>
            </c:dLbl>
            <c:dLbl>
              <c:idx val="3"/>
              <c:delete val="1"/>
              <c:extLst>
                <c:ext xmlns:c15="http://schemas.microsoft.com/office/drawing/2012/chart" uri="{CE6537A1-D6FC-4f65-9D91-7224C49458BB}"/>
                <c:ext xmlns:c16="http://schemas.microsoft.com/office/drawing/2014/chart" uri="{C3380CC4-5D6E-409C-BE32-E72D297353CC}">
                  <c16:uniqueId val="{00000007-E7EF-454B-92CE-79613ECE3644}"/>
                </c:ext>
              </c:extLst>
            </c:dLbl>
            <c:dLbl>
              <c:idx val="4"/>
              <c:delete val="1"/>
              <c:extLst>
                <c:ext xmlns:c15="http://schemas.microsoft.com/office/drawing/2012/chart" uri="{CE6537A1-D6FC-4f65-9D91-7224C49458BB}"/>
                <c:ext xmlns:c16="http://schemas.microsoft.com/office/drawing/2014/chart" uri="{C3380CC4-5D6E-409C-BE32-E72D297353CC}">
                  <c16:uniqueId val="{00000009-E7EF-454B-92CE-79613ECE3644}"/>
                </c:ext>
              </c:extLst>
            </c:dLbl>
            <c:dLbl>
              <c:idx val="5"/>
              <c:delete val="1"/>
              <c:extLst>
                <c:ext xmlns:c15="http://schemas.microsoft.com/office/drawing/2012/chart" uri="{CE6537A1-D6FC-4f65-9D91-7224C49458BB}"/>
                <c:ext xmlns:c16="http://schemas.microsoft.com/office/drawing/2014/chart" uri="{C3380CC4-5D6E-409C-BE32-E72D297353CC}">
                  <c16:uniqueId val="{0000000B-E7EF-454B-92CE-79613ECE3644}"/>
                </c:ext>
              </c:extLst>
            </c:dLbl>
            <c:dLbl>
              <c:idx val="6"/>
              <c:delete val="1"/>
              <c:extLst>
                <c:ext xmlns:c15="http://schemas.microsoft.com/office/drawing/2012/chart" uri="{CE6537A1-D6FC-4f65-9D91-7224C49458BB}"/>
                <c:ext xmlns:c16="http://schemas.microsoft.com/office/drawing/2014/chart" uri="{C3380CC4-5D6E-409C-BE32-E72D297353CC}">
                  <c16:uniqueId val="{0000000D-E7EF-454B-92CE-79613ECE3644}"/>
                </c:ext>
              </c:extLst>
            </c:dLbl>
            <c:dLbl>
              <c:idx val="7"/>
              <c:delete val="1"/>
              <c:extLst>
                <c:ext xmlns:c15="http://schemas.microsoft.com/office/drawing/2012/chart" uri="{CE6537A1-D6FC-4f65-9D91-7224C49458BB}"/>
                <c:ext xmlns:c16="http://schemas.microsoft.com/office/drawing/2014/chart" uri="{C3380CC4-5D6E-409C-BE32-E72D297353CC}">
                  <c16:uniqueId val="{0000000F-E7EF-454B-92CE-79613ECE3644}"/>
                </c:ext>
              </c:extLst>
            </c:dLbl>
            <c:dLbl>
              <c:idx val="8"/>
              <c:delete val="1"/>
              <c:extLst>
                <c:ext xmlns:c15="http://schemas.microsoft.com/office/drawing/2012/chart" uri="{CE6537A1-D6FC-4f65-9D91-7224C49458BB}"/>
                <c:ext xmlns:c16="http://schemas.microsoft.com/office/drawing/2014/chart" uri="{C3380CC4-5D6E-409C-BE32-E72D297353CC}">
                  <c16:uniqueId val="{00000011-E7EF-454B-92CE-79613ECE3644}"/>
                </c:ext>
              </c:extLst>
            </c:dLbl>
            <c:dLbl>
              <c:idx val="9"/>
              <c:delete val="1"/>
              <c:extLst>
                <c:ext xmlns:c15="http://schemas.microsoft.com/office/drawing/2012/chart" uri="{CE6537A1-D6FC-4f65-9D91-7224C49458BB}"/>
                <c:ext xmlns:c16="http://schemas.microsoft.com/office/drawing/2014/chart" uri="{C3380CC4-5D6E-409C-BE32-E72D297353CC}">
                  <c16:uniqueId val="{00000013-E7EF-454B-92CE-79613ECE3644}"/>
                </c:ext>
              </c:extLst>
            </c:dLbl>
            <c:dLbl>
              <c:idx val="10"/>
              <c:delete val="1"/>
              <c:extLst>
                <c:ext xmlns:c15="http://schemas.microsoft.com/office/drawing/2012/chart" uri="{CE6537A1-D6FC-4f65-9D91-7224C49458BB}"/>
                <c:ext xmlns:c16="http://schemas.microsoft.com/office/drawing/2014/chart" uri="{C3380CC4-5D6E-409C-BE32-E72D297353CC}">
                  <c16:uniqueId val="{00000015-E7EF-454B-92CE-79613ECE3644}"/>
                </c:ext>
              </c:extLst>
            </c:dLbl>
            <c:dLbl>
              <c:idx val="11"/>
              <c:delete val="1"/>
              <c:extLst>
                <c:ext xmlns:c15="http://schemas.microsoft.com/office/drawing/2012/chart" uri="{CE6537A1-D6FC-4f65-9D91-7224C49458BB}"/>
                <c:ext xmlns:c16="http://schemas.microsoft.com/office/drawing/2014/chart" uri="{C3380CC4-5D6E-409C-BE32-E72D297353CC}">
                  <c16:uniqueId val="{00000017-E7EF-454B-92CE-79613ECE3644}"/>
                </c:ext>
              </c:extLst>
            </c:dLbl>
            <c:dLbl>
              <c:idx val="12"/>
              <c:delete val="1"/>
              <c:extLst>
                <c:ext xmlns:c15="http://schemas.microsoft.com/office/drawing/2012/chart" uri="{CE6537A1-D6FC-4f65-9D91-7224C49458BB}"/>
                <c:ext xmlns:c16="http://schemas.microsoft.com/office/drawing/2014/chart" uri="{C3380CC4-5D6E-409C-BE32-E72D297353CC}">
                  <c16:uniqueId val="{00000019-E7EF-454B-92CE-79613ECE3644}"/>
                </c:ext>
              </c:extLst>
            </c:dLbl>
            <c:dLbl>
              <c:idx val="13"/>
              <c:delete val="1"/>
              <c:extLst>
                <c:ext xmlns:c15="http://schemas.microsoft.com/office/drawing/2012/chart" uri="{CE6537A1-D6FC-4f65-9D91-7224C49458BB}"/>
                <c:ext xmlns:c16="http://schemas.microsoft.com/office/drawing/2014/chart" uri="{C3380CC4-5D6E-409C-BE32-E72D297353CC}">
                  <c16:uniqueId val="{0000001B-E7EF-454B-92CE-79613ECE3644}"/>
                </c:ext>
              </c:extLst>
            </c:dLbl>
            <c:dLbl>
              <c:idx val="14"/>
              <c:delete val="1"/>
              <c:extLst>
                <c:ext xmlns:c15="http://schemas.microsoft.com/office/drawing/2012/chart" uri="{CE6537A1-D6FC-4f65-9D91-7224C49458BB}"/>
                <c:ext xmlns:c16="http://schemas.microsoft.com/office/drawing/2014/chart" uri="{C3380CC4-5D6E-409C-BE32-E72D297353CC}">
                  <c16:uniqueId val="{0000001D-E7EF-454B-92CE-79613ECE3644}"/>
                </c:ext>
              </c:extLst>
            </c:dLbl>
            <c:dLbl>
              <c:idx val="15"/>
              <c:delete val="1"/>
              <c:extLst>
                <c:ext xmlns:c15="http://schemas.microsoft.com/office/drawing/2012/chart" uri="{CE6537A1-D6FC-4f65-9D91-7224C49458BB}"/>
                <c:ext xmlns:c16="http://schemas.microsoft.com/office/drawing/2014/chart" uri="{C3380CC4-5D6E-409C-BE32-E72D297353CC}">
                  <c16:uniqueId val="{0000001F-E7EF-454B-92CE-79613ECE3644}"/>
                </c:ext>
              </c:extLst>
            </c:dLbl>
            <c:dLbl>
              <c:idx val="16"/>
              <c:delete val="1"/>
              <c:extLst>
                <c:ext xmlns:c15="http://schemas.microsoft.com/office/drawing/2012/chart" uri="{CE6537A1-D6FC-4f65-9D91-7224C49458BB}"/>
                <c:ext xmlns:c16="http://schemas.microsoft.com/office/drawing/2014/chart" uri="{C3380CC4-5D6E-409C-BE32-E72D297353CC}">
                  <c16:uniqueId val="{00000021-E7EF-454B-92CE-79613ECE3644}"/>
                </c:ext>
              </c:extLst>
            </c:dLbl>
            <c:dLbl>
              <c:idx val="17"/>
              <c:delete val="1"/>
              <c:extLst>
                <c:ext xmlns:c15="http://schemas.microsoft.com/office/drawing/2012/chart" uri="{CE6537A1-D6FC-4f65-9D91-7224C49458BB}"/>
                <c:ext xmlns:c16="http://schemas.microsoft.com/office/drawing/2014/chart" uri="{C3380CC4-5D6E-409C-BE32-E72D297353CC}">
                  <c16:uniqueId val="{00000023-E7EF-454B-92CE-79613ECE3644}"/>
                </c:ext>
              </c:extLst>
            </c:dLbl>
            <c:dLbl>
              <c:idx val="18"/>
              <c:delete val="1"/>
              <c:extLst>
                <c:ext xmlns:c15="http://schemas.microsoft.com/office/drawing/2012/chart" uri="{CE6537A1-D6FC-4f65-9D91-7224C49458BB}"/>
                <c:ext xmlns:c16="http://schemas.microsoft.com/office/drawing/2014/chart" uri="{C3380CC4-5D6E-409C-BE32-E72D297353CC}">
                  <c16:uniqueId val="{00000025-E7EF-454B-92CE-79613ECE3644}"/>
                </c:ext>
              </c:extLst>
            </c:dLbl>
            <c:dLbl>
              <c:idx val="19"/>
              <c:delete val="1"/>
              <c:extLst>
                <c:ext xmlns:c15="http://schemas.microsoft.com/office/drawing/2012/chart" uri="{CE6537A1-D6FC-4f65-9D91-7224C49458BB}"/>
                <c:ext xmlns:c16="http://schemas.microsoft.com/office/drawing/2014/chart" uri="{C3380CC4-5D6E-409C-BE32-E72D297353CC}">
                  <c16:uniqueId val="{00000027-E7EF-454B-92CE-79613ECE3644}"/>
                </c:ext>
              </c:extLst>
            </c:dLbl>
            <c:dLbl>
              <c:idx val="20"/>
              <c:delete val="1"/>
              <c:extLst>
                <c:ext xmlns:c15="http://schemas.microsoft.com/office/drawing/2012/chart" uri="{CE6537A1-D6FC-4f65-9D91-7224C49458BB}"/>
                <c:ext xmlns:c16="http://schemas.microsoft.com/office/drawing/2014/chart" uri="{C3380CC4-5D6E-409C-BE32-E72D297353CC}">
                  <c16:uniqueId val="{00000029-E7EF-454B-92CE-79613ECE3644}"/>
                </c:ext>
              </c:extLst>
            </c:dLbl>
            <c:dLbl>
              <c:idx val="2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E7EF-454B-92CE-79613ECE3644}"/>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s>
          <c:val>
            <c:numRef>
              <c:f>'QT02BM01Bảng địnhluong Loai'!$H$8:$H$28</c:f>
              <c:numCache>
                <c:formatCode>0.00%</c:formatCode>
                <c:ptCount val="21"/>
                <c:pt idx="0">
                  <c:v>5.6668696862291078E-5</c:v>
                </c:pt>
                <c:pt idx="1">
                  <c:v>4.9404657812041281E-3</c:v>
                </c:pt>
                <c:pt idx="2">
                  <c:v>3.6960057359864329E-4</c:v>
                </c:pt>
                <c:pt idx="3">
                  <c:v>1.6266638926833763E-5</c:v>
                </c:pt>
                <c:pt idx="4">
                  <c:v>2.0556233677281644E-5</c:v>
                </c:pt>
                <c:pt idx="5">
                  <c:v>3.0319427200627729E-2</c:v>
                </c:pt>
                <c:pt idx="6">
                  <c:v>6.4744298802340891E-5</c:v>
                </c:pt>
                <c:pt idx="7">
                  <c:v>5.8801158052452195E-4</c:v>
                </c:pt>
                <c:pt idx="8">
                  <c:v>3.4908810121770301E-3</c:v>
                </c:pt>
                <c:pt idx="9">
                  <c:v>6.9947128843787544E-3</c:v>
                </c:pt>
                <c:pt idx="11">
                  <c:v>2.6923260424741142E-3</c:v>
                </c:pt>
                <c:pt idx="12">
                  <c:v>1.4042643621010277E-2</c:v>
                </c:pt>
                <c:pt idx="13">
                  <c:v>7.0160619219513905E-4</c:v>
                </c:pt>
                <c:pt idx="15">
                  <c:v>4.3772046566752663E-7</c:v>
                </c:pt>
                <c:pt idx="16">
                  <c:v>7.449422641801366E-4</c:v>
                </c:pt>
                <c:pt idx="17">
                  <c:v>1.573697381149616E-3</c:v>
                </c:pt>
                <c:pt idx="18">
                  <c:v>3.2988743743618837E-6</c:v>
                </c:pt>
                <c:pt idx="20">
                  <c:v>0.93337971300337119</c:v>
                </c:pt>
              </c:numCache>
            </c:numRef>
          </c:val>
          <c:extLst>
            <c:ext xmlns:c16="http://schemas.microsoft.com/office/drawing/2014/chart" uri="{C3380CC4-5D6E-409C-BE32-E72D297353CC}">
              <c16:uniqueId val="{0000002C-E7EF-454B-92CE-79613ECE3644}"/>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bba1608-f266-4cb5-93f4-3bc95772767e}"/>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en-US" sz="2000" b="1"/>
              <a:t>BIỂU</a:t>
            </a:r>
            <a:r>
              <a:rPr lang="en-US" sz="2000" b="1" baseline="0"/>
              <a:t> ĐỒ CÁC NGUỒN PHÁT THẢI KNK THEO ĐỊNH LƯỢNG (tons CO2eq)</a:t>
            </a:r>
            <a:endParaRPr lang="en-US" sz="2000" b="1"/>
          </a:p>
        </c:rich>
      </c:tx>
      <c:overlay val="0"/>
      <c:spPr>
        <a:noFill/>
        <a:ln>
          <a:noFill/>
        </a:ln>
        <a:effectLst/>
      </c:spPr>
    </c:title>
    <c:autoTitleDeleted val="0"/>
    <c:plotArea>
      <c:layout/>
      <c:barChart>
        <c:barDir val="col"/>
        <c:grouping val="clustered"/>
        <c:varyColors val="0"/>
        <c:ser>
          <c:idx val="0"/>
          <c:order val="0"/>
          <c:tx>
            <c:strRef>
              <c:f>'QT02BM01 Bảng định lượng KNK TH'!$B$6</c:f>
              <c:strCache>
                <c:ptCount val="1"/>
                <c:pt idx="0">
                  <c:v>DO máy phát điện</c:v>
                </c:pt>
              </c:strCache>
            </c:strRef>
          </c:tx>
          <c:spPr>
            <a:solidFill>
              <a:schemeClr val="accent1"/>
            </a:solidFill>
            <a:ln>
              <a:noFill/>
            </a:ln>
            <a:effectLst/>
          </c:spPr>
          <c:invertIfNegative val="0"/>
          <c:val>
            <c:numRef>
              <c:f>'QT02BM01 Bảng định lượng KNK TH'!$C$6:$N$6</c:f>
              <c:numCache>
                <c:formatCode>_(* #,##0.000_);_(* \(#,##0.000\);_(* "-"??_);_(@_)</c:formatCode>
                <c:ptCount val="12"/>
                <c:pt idx="0">
                  <c:v>5.7736781549999998E-2</c:v>
                </c:pt>
                <c:pt idx="1">
                  <c:v>5.505134985E-2</c:v>
                </c:pt>
                <c:pt idx="2">
                  <c:v>6.310764495E-2</c:v>
                </c:pt>
                <c:pt idx="3">
                  <c:v>0.13292886914999999</c:v>
                </c:pt>
                <c:pt idx="4">
                  <c:v>0.21080638844999999</c:v>
                </c:pt>
                <c:pt idx="5">
                  <c:v>9.9360972899999997E-2</c:v>
                </c:pt>
                <c:pt idx="6">
                  <c:v>6.8478508349999995E-2</c:v>
                </c:pt>
                <c:pt idx="7">
                  <c:v>6.0422213250000002E-2</c:v>
                </c:pt>
                <c:pt idx="8">
                  <c:v>6.310764495E-2</c:v>
                </c:pt>
                <c:pt idx="9">
                  <c:v>3.6253327949999997E-2</c:v>
                </c:pt>
                <c:pt idx="10">
                  <c:v>6.5793076650000004E-2</c:v>
                </c:pt>
                <c:pt idx="11">
                  <c:v>4.4980980975000001E-2</c:v>
                </c:pt>
              </c:numCache>
            </c:numRef>
          </c:val>
          <c:extLst>
            <c:ext xmlns:c16="http://schemas.microsoft.com/office/drawing/2014/chart" uri="{C3380CC4-5D6E-409C-BE32-E72D297353CC}">
              <c16:uniqueId val="{00000000-73A9-4C26-B78D-988091F2C12E}"/>
            </c:ext>
          </c:extLst>
        </c:ser>
        <c:ser>
          <c:idx val="1"/>
          <c:order val="1"/>
          <c:tx>
            <c:strRef>
              <c:f>'QT02BM01 Bảng định lượng KNK TH'!$B$7</c:f>
              <c:strCache>
                <c:ptCount val="1"/>
                <c:pt idx="0">
                  <c:v>LPG sản xuất</c:v>
                </c:pt>
              </c:strCache>
            </c:strRef>
          </c:tx>
          <c:spPr>
            <a:solidFill>
              <a:schemeClr val="accent2"/>
            </a:solidFill>
            <a:ln>
              <a:noFill/>
            </a:ln>
            <a:effectLst/>
          </c:spPr>
          <c:invertIfNegative val="0"/>
          <c:val>
            <c:numRef>
              <c:f>'QT02BM01 Bảng định lượng KNK TH'!$C$7:$N$7</c:f>
              <c:numCache>
                <c:formatCode>_(* #,##0.000_);_(* \(#,##0.000\);_(* "-"??_);_(@_)</c:formatCode>
                <c:ptCount val="12"/>
                <c:pt idx="0">
                  <c:v>6.5674492505600002</c:v>
                </c:pt>
                <c:pt idx="1">
                  <c:v>5.229464024576</c:v>
                </c:pt>
                <c:pt idx="2">
                  <c:v>6.7099406443519998</c:v>
                </c:pt>
                <c:pt idx="3">
                  <c:v>6.683055475712</c:v>
                </c:pt>
                <c:pt idx="4">
                  <c:v>8.1796631966719993</c:v>
                </c:pt>
                <c:pt idx="5">
                  <c:v>6.0933741102079999</c:v>
                </c:pt>
                <c:pt idx="6">
                  <c:v>7.806258076672</c:v>
                </c:pt>
                <c:pt idx="7">
                  <c:v>7.3055964917759999</c:v>
                </c:pt>
                <c:pt idx="8">
                  <c:v>6.7643084298240002</c:v>
                </c:pt>
                <c:pt idx="9">
                  <c:v>7.64136237568</c:v>
                </c:pt>
                <c:pt idx="10">
                  <c:v>7.4322555084799999</c:v>
                </c:pt>
                <c:pt idx="11">
                  <c:v>7.1096334847999998</c:v>
                </c:pt>
              </c:numCache>
            </c:numRef>
          </c:val>
          <c:extLst>
            <c:ext xmlns:c16="http://schemas.microsoft.com/office/drawing/2014/chart" uri="{C3380CC4-5D6E-409C-BE32-E72D297353CC}">
              <c16:uniqueId val="{00000001-73A9-4C26-B78D-988091F2C12E}"/>
            </c:ext>
          </c:extLst>
        </c:ser>
        <c:ser>
          <c:idx val="2"/>
          <c:order val="2"/>
          <c:tx>
            <c:strRef>
              <c:f>'QT02BM01 Bảng định lượng KNK TH'!$B$8</c:f>
              <c:strCache>
                <c:ptCount val="1"/>
                <c:pt idx="0">
                  <c:v>LPG nhà bếp</c:v>
                </c:pt>
              </c:strCache>
            </c:strRef>
          </c:tx>
          <c:spPr>
            <a:solidFill>
              <a:schemeClr val="accent3"/>
            </a:solidFill>
            <a:ln>
              <a:noFill/>
            </a:ln>
            <a:effectLst/>
          </c:spPr>
          <c:invertIfNegative val="0"/>
          <c:val>
            <c:numRef>
              <c:f>'QT02BM01 Bảng định lượng KNK TH'!$C$8:$N$8</c:f>
              <c:numCache>
                <c:formatCode>_(* #,##0.000_);_(* \(#,##0.000\);_(* "-"??_);_(@_)</c:formatCode>
                <c:ptCount val="12"/>
                <c:pt idx="0">
                  <c:v>0.46683306384000001</c:v>
                </c:pt>
                <c:pt idx="1">
                  <c:v>0.46683306384000001</c:v>
                </c:pt>
                <c:pt idx="2">
                  <c:v>0.50274329951999996</c:v>
                </c:pt>
                <c:pt idx="3">
                  <c:v>0.46683306384000001</c:v>
                </c:pt>
                <c:pt idx="4">
                  <c:v>0.46683306384000001</c:v>
                </c:pt>
                <c:pt idx="5">
                  <c:v>0.43092282815999999</c:v>
                </c:pt>
                <c:pt idx="6">
                  <c:v>0.61047400655999995</c:v>
                </c:pt>
                <c:pt idx="7">
                  <c:v>0.43092282815999999</c:v>
                </c:pt>
                <c:pt idx="8">
                  <c:v>0.43092282815999999</c:v>
                </c:pt>
                <c:pt idx="9">
                  <c:v>0.68229447791999998</c:v>
                </c:pt>
                <c:pt idx="10">
                  <c:v>0.57456377087999999</c:v>
                </c:pt>
                <c:pt idx="11">
                  <c:v>0.71820471360000004</c:v>
                </c:pt>
              </c:numCache>
            </c:numRef>
          </c:val>
          <c:extLst>
            <c:ext xmlns:c16="http://schemas.microsoft.com/office/drawing/2014/chart" uri="{C3380CC4-5D6E-409C-BE32-E72D297353CC}">
              <c16:uniqueId val="{00000002-73A9-4C26-B78D-988091F2C12E}"/>
            </c:ext>
          </c:extLst>
        </c:ser>
        <c:ser>
          <c:idx val="3"/>
          <c:order val="3"/>
          <c:tx>
            <c:strRef>
              <c:f>'QT02BM01 Bảng định lượng KNK TH'!$B$9</c:f>
              <c:strCache>
                <c:ptCount val="1"/>
                <c:pt idx="0">
                  <c:v>Methanol</c:v>
                </c:pt>
              </c:strCache>
            </c:strRef>
          </c:tx>
          <c:spPr>
            <a:solidFill>
              <a:schemeClr val="accent4"/>
            </a:solidFill>
            <a:ln>
              <a:noFill/>
            </a:ln>
            <a:effectLst/>
          </c:spPr>
          <c:invertIfNegative val="0"/>
          <c:val>
            <c:numRef>
              <c:f>'QT02BM01 Bảng định lượng KNK TH'!$C$9:$N$9</c:f>
              <c:numCache>
                <c:formatCode>_(* #,##0.000_);_(* \(#,##0.000\);_(* "-"??_);_(@_)</c:formatCode>
                <c:ptCount val="12"/>
                <c:pt idx="0">
                  <c:v>0</c:v>
                </c:pt>
                <c:pt idx="1">
                  <c:v>2.75E-2</c:v>
                </c:pt>
                <c:pt idx="2">
                  <c:v>0</c:v>
                </c:pt>
                <c:pt idx="3">
                  <c:v>2.75E-2</c:v>
                </c:pt>
                <c:pt idx="4">
                  <c:v>2.75E-2</c:v>
                </c:pt>
                <c:pt idx="5">
                  <c:v>5.5E-2</c:v>
                </c:pt>
                <c:pt idx="6">
                  <c:v>0</c:v>
                </c:pt>
                <c:pt idx="7">
                  <c:v>8.2500000000000004E-2</c:v>
                </c:pt>
                <c:pt idx="8">
                  <c:v>0</c:v>
                </c:pt>
                <c:pt idx="9">
                  <c:v>5.5E-2</c:v>
                </c:pt>
                <c:pt idx="10">
                  <c:v>0</c:v>
                </c:pt>
                <c:pt idx="11">
                  <c:v>0</c:v>
                </c:pt>
              </c:numCache>
            </c:numRef>
          </c:val>
          <c:extLst>
            <c:ext xmlns:c16="http://schemas.microsoft.com/office/drawing/2014/chart" uri="{C3380CC4-5D6E-409C-BE32-E72D297353CC}">
              <c16:uniqueId val="{00000003-73A9-4C26-B78D-988091F2C12E}"/>
            </c:ext>
          </c:extLst>
        </c:ser>
        <c:ser>
          <c:idx val="4"/>
          <c:order val="4"/>
          <c:tx>
            <c:strRef>
              <c:f>'QT02BM01 Bảng định lượng KNK TH'!$B$10</c:f>
              <c:strCache>
                <c:ptCount val="1"/>
                <c:pt idx="0">
                  <c:v>Xăng máy cắt cỏ</c:v>
                </c:pt>
              </c:strCache>
            </c:strRef>
          </c:tx>
          <c:spPr>
            <a:solidFill>
              <a:schemeClr val="accent5"/>
            </a:solidFill>
            <a:ln>
              <a:noFill/>
            </a:ln>
            <a:effectLst/>
          </c:spPr>
          <c:invertIfNegative val="0"/>
          <c:val>
            <c:numRef>
              <c:f>'QT02BM01 Bảng định lượng KNK TH'!$C$10:$N$10</c:f>
              <c:numCache>
                <c:formatCode>_(* #,##0.000_);_(* \(#,##0.000\);_(* "-"??_);_(@_)</c:formatCode>
                <c:ptCount val="12"/>
                <c:pt idx="0">
                  <c:v>2.2863084695999999E-2</c:v>
                </c:pt>
                <c:pt idx="1">
                  <c:v>0</c:v>
                </c:pt>
                <c:pt idx="2">
                  <c:v>2.2863084695999999E-2</c:v>
                </c:pt>
                <c:pt idx="3">
                  <c:v>2.2863084695999999E-2</c:v>
                </c:pt>
                <c:pt idx="4">
                  <c:v>0</c:v>
                </c:pt>
                <c:pt idx="5">
                  <c:v>2.2863084695999999E-2</c:v>
                </c:pt>
                <c:pt idx="6">
                  <c:v>5.0298786331200003E-2</c:v>
                </c:pt>
                <c:pt idx="7">
                  <c:v>4.5726169391999999E-2</c:v>
                </c:pt>
                <c:pt idx="8">
                  <c:v>4.5726169391999999E-2</c:v>
                </c:pt>
                <c:pt idx="9">
                  <c:v>2.2863084695999999E-2</c:v>
                </c:pt>
                <c:pt idx="10">
                  <c:v>4.5726169391999999E-2</c:v>
                </c:pt>
                <c:pt idx="11">
                  <c:v>4.5726169391999999E-2</c:v>
                </c:pt>
              </c:numCache>
            </c:numRef>
          </c:val>
          <c:extLst>
            <c:ext xmlns:c16="http://schemas.microsoft.com/office/drawing/2014/chart" uri="{C3380CC4-5D6E-409C-BE32-E72D297353CC}">
              <c16:uniqueId val="{00000004-73A9-4C26-B78D-988091F2C12E}"/>
            </c:ext>
          </c:extLst>
        </c:ser>
        <c:ser>
          <c:idx val="5"/>
          <c:order val="5"/>
          <c:tx>
            <c:strRef>
              <c:f>'QT02BM01 Bảng định lượng KNK TH'!$B$11</c:f>
              <c:strCache>
                <c:ptCount val="1"/>
                <c:pt idx="0">
                  <c:v>Dầu hỏa (Kerosene-Oil)</c:v>
                </c:pt>
              </c:strCache>
            </c:strRef>
          </c:tx>
          <c:spPr>
            <a:solidFill>
              <a:schemeClr val="accent6"/>
            </a:solidFill>
            <a:ln>
              <a:noFill/>
            </a:ln>
            <a:effectLst/>
          </c:spPr>
          <c:invertIfNegative val="0"/>
          <c:val>
            <c:numRef>
              <c:f>'QT02BM01 Bảng định lượng KNK TH'!$C$11:$N$11</c:f>
              <c:numCache>
                <c:formatCode>_(* #,##0.000_);_(* \(#,##0.000\);_(* "-"??_);_(@_)</c:formatCode>
                <c:ptCount val="12"/>
                <c:pt idx="0">
                  <c:v>40.262710037760002</c:v>
                </c:pt>
                <c:pt idx="1">
                  <c:v>18.303955232940002</c:v>
                </c:pt>
                <c:pt idx="2">
                  <c:v>34.261249538580003</c:v>
                </c:pt>
                <c:pt idx="3">
                  <c:v>43.890048683895003</c:v>
                </c:pt>
                <c:pt idx="4">
                  <c:v>47.574805629315001</c:v>
                </c:pt>
                <c:pt idx="5">
                  <c:v>33.200259225704997</c:v>
                </c:pt>
                <c:pt idx="6">
                  <c:v>51.554143414545003</c:v>
                </c:pt>
                <c:pt idx="7">
                  <c:v>46.154326833959999</c:v>
                </c:pt>
                <c:pt idx="8">
                  <c:v>42.352236842175003</c:v>
                </c:pt>
                <c:pt idx="9">
                  <c:v>52.899728776049997</c:v>
                </c:pt>
                <c:pt idx="10">
                  <c:v>50.490656653875</c:v>
                </c:pt>
                <c:pt idx="11">
                  <c:v>51.629036848395003</c:v>
                </c:pt>
              </c:numCache>
            </c:numRef>
          </c:val>
          <c:extLst>
            <c:ext xmlns:c16="http://schemas.microsoft.com/office/drawing/2014/chart" uri="{C3380CC4-5D6E-409C-BE32-E72D297353CC}">
              <c16:uniqueId val="{00000005-73A9-4C26-B78D-988091F2C12E}"/>
            </c:ext>
          </c:extLst>
        </c:ser>
        <c:ser>
          <c:idx val="6"/>
          <c:order val="6"/>
          <c:tx>
            <c:strRef>
              <c:f>'QT02BM01 Bảng định lượng KNK TH'!$B$12</c:f>
              <c:strCache>
                <c:ptCount val="1"/>
                <c:pt idx="0">
                  <c:v>Nước thủy tinh (Silicate)</c:v>
                </c:pt>
              </c:strCache>
            </c:strRef>
          </c:tx>
          <c:spPr>
            <a:solidFill>
              <a:schemeClr val="accent1">
                <a:lumMod val="60000"/>
              </a:schemeClr>
            </a:solidFill>
            <a:ln>
              <a:noFill/>
            </a:ln>
            <a:effectLst/>
          </c:spPr>
          <c:invertIfNegative val="0"/>
          <c:val>
            <c:numRef>
              <c:f>'QT02BM01 Bảng định lượng KNK TH'!$C$12:$N$12</c:f>
              <c:numCache>
                <c:formatCode>_(* #,##0.000_);_(* \(#,##0.000\);_(* "-"??_);_(@_)</c:formatCode>
                <c:ptCount val="12"/>
                <c:pt idx="0">
                  <c:v>0.10108</c:v>
                </c:pt>
                <c:pt idx="1">
                  <c:v>0.1444</c:v>
                </c:pt>
                <c:pt idx="2">
                  <c:v>0.1444</c:v>
                </c:pt>
                <c:pt idx="3">
                  <c:v>0.141512</c:v>
                </c:pt>
                <c:pt idx="4">
                  <c:v>0.1444</c:v>
                </c:pt>
                <c:pt idx="5">
                  <c:v>0.1444</c:v>
                </c:pt>
                <c:pt idx="6">
                  <c:v>7.22E-2</c:v>
                </c:pt>
                <c:pt idx="7">
                  <c:v>0</c:v>
                </c:pt>
                <c:pt idx="8">
                  <c:v>2.8879999999999999E-2</c:v>
                </c:pt>
                <c:pt idx="9">
                  <c:v>7.22E-2</c:v>
                </c:pt>
                <c:pt idx="10">
                  <c:v>7.22E-2</c:v>
                </c:pt>
                <c:pt idx="11">
                  <c:v>2.8879999999999999E-2</c:v>
                </c:pt>
              </c:numCache>
            </c:numRef>
          </c:val>
          <c:extLst>
            <c:ext xmlns:c16="http://schemas.microsoft.com/office/drawing/2014/chart" uri="{C3380CC4-5D6E-409C-BE32-E72D297353CC}">
              <c16:uniqueId val="{00000006-73A9-4C26-B78D-988091F2C12E}"/>
            </c:ext>
          </c:extLst>
        </c:ser>
        <c:ser>
          <c:idx val="7"/>
          <c:order val="7"/>
          <c:tx>
            <c:strRef>
              <c:f>'QT02BM01 Bảng định lượng KNK TH'!$B$13</c:f>
              <c:strCache>
                <c:ptCount val="1"/>
                <c:pt idx="0">
                  <c:v>Sơn lõi khuôn (BR-750 và Koalid Paste 94I)</c:v>
                </c:pt>
              </c:strCache>
            </c:strRef>
          </c:tx>
          <c:spPr>
            <a:solidFill>
              <a:schemeClr val="accent2">
                <a:lumMod val="60000"/>
              </a:schemeClr>
            </a:solidFill>
            <a:ln>
              <a:noFill/>
            </a:ln>
            <a:effectLst/>
          </c:spPr>
          <c:invertIfNegative val="0"/>
          <c:val>
            <c:numRef>
              <c:f>'QT02BM01 Bảng định lượng KNK TH'!$C$13:$N$13</c:f>
              <c:numCache>
                <c:formatCode>_(* #,##0.000_);_(* \(#,##0.000\);_(* "-"??_);_(@_)</c:formatCode>
                <c:ptCount val="12"/>
                <c:pt idx="0">
                  <c:v>0.74993849999999995</c:v>
                </c:pt>
                <c:pt idx="1">
                  <c:v>0.58328550000000001</c:v>
                </c:pt>
                <c:pt idx="2">
                  <c:v>1.166571</c:v>
                </c:pt>
                <c:pt idx="3">
                  <c:v>1.4721015</c:v>
                </c:pt>
                <c:pt idx="4">
                  <c:v>1.944285</c:v>
                </c:pt>
                <c:pt idx="5">
                  <c:v>0.50730375000000005</c:v>
                </c:pt>
                <c:pt idx="6">
                  <c:v>0.58486925000000001</c:v>
                </c:pt>
                <c:pt idx="7">
                  <c:v>0.280306</c:v>
                </c:pt>
                <c:pt idx="8">
                  <c:v>0.95950899999999995</c:v>
                </c:pt>
                <c:pt idx="9">
                  <c:v>0.43663049999999998</c:v>
                </c:pt>
                <c:pt idx="10">
                  <c:v>0.52018324999999999</c:v>
                </c:pt>
                <c:pt idx="11">
                  <c:v>0.73580325000000002</c:v>
                </c:pt>
              </c:numCache>
            </c:numRef>
          </c:val>
          <c:extLst>
            <c:ext xmlns:c16="http://schemas.microsoft.com/office/drawing/2014/chart" uri="{C3380CC4-5D6E-409C-BE32-E72D297353CC}">
              <c16:uniqueId val="{00000007-73A9-4C26-B78D-988091F2C12E}"/>
            </c:ext>
          </c:extLst>
        </c:ser>
        <c:ser>
          <c:idx val="8"/>
          <c:order val="8"/>
          <c:tx>
            <c:strRef>
              <c:f>'QT02BM01 Bảng định lượng KNK TH'!#REF!</c:f>
              <c:strCache>
                <c:ptCount val="1"/>
                <c:pt idx="0">
                  <c:v>#REF!</c:v>
                </c:pt>
              </c:strCache>
            </c:strRef>
          </c:tx>
          <c:spPr>
            <a:solidFill>
              <a:schemeClr val="accent3">
                <a:lumMod val="60000"/>
              </a:schemeClr>
            </a:solidFill>
            <a:ln>
              <a:noFill/>
            </a:ln>
            <a:effectLst/>
          </c:spPr>
          <c:invertIfNegative val="0"/>
          <c:val>
            <c:numRef>
              <c:f>'QT02BM01 Bảng định lượng KNK TH'!#REF!</c:f>
              <c:numCache>
                <c:formatCode>General</c:formatCode>
                <c:ptCount val="1"/>
                <c:pt idx="0">
                  <c:v>1</c:v>
                </c:pt>
              </c:numCache>
            </c:numRef>
          </c:val>
          <c:extLst>
            <c:ext xmlns:c16="http://schemas.microsoft.com/office/drawing/2014/chart" uri="{C3380CC4-5D6E-409C-BE32-E72D297353CC}">
              <c16:uniqueId val="{00000008-73A9-4C26-B78D-988091F2C12E}"/>
            </c:ext>
          </c:extLst>
        </c:ser>
        <c:ser>
          <c:idx val="9"/>
          <c:order val="9"/>
          <c:tx>
            <c:strRef>
              <c:f>'QT02BM01 Bảng định lượng KNK TH'!$B$15</c:f>
              <c:strCache>
                <c:ptCount val="1"/>
                <c:pt idx="0">
                  <c:v>CO2 sử dụng cho kết dính thao (core mold)</c:v>
                </c:pt>
              </c:strCache>
            </c:strRef>
          </c:tx>
          <c:spPr>
            <a:solidFill>
              <a:schemeClr val="accent4">
                <a:lumMod val="60000"/>
              </a:schemeClr>
            </a:solidFill>
            <a:ln>
              <a:noFill/>
            </a:ln>
            <a:effectLst/>
          </c:spPr>
          <c:invertIfNegative val="0"/>
          <c:val>
            <c:numRef>
              <c:f>'QT02BM01 Bảng định lượng KNK TH'!$C$15:$N$15</c:f>
              <c:numCache>
                <c:formatCode>_(* #,##0.000_);_(* \(#,##0.000\);_(* "-"??_);_(@_)</c:formatCode>
                <c:ptCount val="12"/>
                <c:pt idx="0">
                  <c:v>9.0697399999999995</c:v>
                </c:pt>
                <c:pt idx="1">
                  <c:v>5.9494999999999996</c:v>
                </c:pt>
                <c:pt idx="2">
                  <c:v>9.3910549999999997</c:v>
                </c:pt>
                <c:pt idx="3">
                  <c:v>7.6906480000000004</c:v>
                </c:pt>
                <c:pt idx="4">
                  <c:v>18.46697</c:v>
                </c:pt>
                <c:pt idx="5">
                  <c:v>11.663779999999999</c:v>
                </c:pt>
                <c:pt idx="6">
                  <c:v>7.9198000000000004</c:v>
                </c:pt>
                <c:pt idx="7">
                  <c:v>9.3406500000000001</c:v>
                </c:pt>
                <c:pt idx="8">
                  <c:v>15.105969999999999</c:v>
                </c:pt>
                <c:pt idx="9">
                  <c:v>7.9447749999999999</c:v>
                </c:pt>
                <c:pt idx="10">
                  <c:v>8.0446749999999998</c:v>
                </c:pt>
                <c:pt idx="11">
                  <c:v>7.6634200000000003</c:v>
                </c:pt>
              </c:numCache>
            </c:numRef>
          </c:val>
          <c:extLst>
            <c:ext xmlns:c16="http://schemas.microsoft.com/office/drawing/2014/chart" uri="{C3380CC4-5D6E-409C-BE32-E72D297353CC}">
              <c16:uniqueId val="{00000009-73A9-4C26-B78D-988091F2C12E}"/>
            </c:ext>
          </c:extLst>
        </c:ser>
        <c:ser>
          <c:idx val="10"/>
          <c:order val="10"/>
          <c:tx>
            <c:strRef>
              <c:f>'QT02BM01 Bảng định lượng KNK TH'!$B$17</c:f>
              <c:strCache>
                <c:ptCount val="1"/>
                <c:pt idx="0">
                  <c:v>DO dùng cho xe nâng</c:v>
                </c:pt>
              </c:strCache>
            </c:strRef>
          </c:tx>
          <c:spPr>
            <a:solidFill>
              <a:schemeClr val="accent5">
                <a:lumMod val="60000"/>
              </a:schemeClr>
            </a:solidFill>
            <a:ln>
              <a:noFill/>
            </a:ln>
            <a:effectLst/>
          </c:spPr>
          <c:invertIfNegative val="0"/>
          <c:val>
            <c:numRef>
              <c:f>'QT02BM01 Bảng định lượng KNK TH'!$C$17:$N$17</c:f>
              <c:numCache>
                <c:formatCode>_(* #,##0.000_);_(* \(#,##0.000\);_(* "-"??_);_(@_)</c:formatCode>
                <c:ptCount val="12"/>
                <c:pt idx="0">
                  <c:v>4.3433063110332002</c:v>
                </c:pt>
                <c:pt idx="1">
                  <c:v>2.4856984958777999</c:v>
                </c:pt>
                <c:pt idx="2">
                  <c:v>4.0411117382328001</c:v>
                </c:pt>
                <c:pt idx="3">
                  <c:v>3.7122529384205998</c:v>
                </c:pt>
                <c:pt idx="4">
                  <c:v>3.9877832842092</c:v>
                </c:pt>
                <c:pt idx="5">
                  <c:v>3.8218725383579999</c:v>
                </c:pt>
                <c:pt idx="6">
                  <c:v>4.2247986354252003</c:v>
                </c:pt>
                <c:pt idx="7">
                  <c:v>5.2765542564462002</c:v>
                </c:pt>
                <c:pt idx="8">
                  <c:v>4.1270298030486003</c:v>
                </c:pt>
                <c:pt idx="9">
                  <c:v>2.6901242363016</c:v>
                </c:pt>
                <c:pt idx="10">
                  <c:v>3.2145207008669998</c:v>
                </c:pt>
                <c:pt idx="11">
                  <c:v>3.5907825709223999</c:v>
                </c:pt>
              </c:numCache>
            </c:numRef>
          </c:val>
          <c:extLst>
            <c:ext xmlns:c16="http://schemas.microsoft.com/office/drawing/2014/chart" uri="{C3380CC4-5D6E-409C-BE32-E72D297353CC}">
              <c16:uniqueId val="{0000000A-73A9-4C26-B78D-988091F2C12E}"/>
            </c:ext>
          </c:extLst>
        </c:ser>
        <c:ser>
          <c:idx val="11"/>
          <c:order val="11"/>
          <c:tx>
            <c:strRef>
              <c:f>'QT02BM01 Bảng định lượng KNK TH'!$B$18</c:f>
              <c:strCache>
                <c:ptCount val="1"/>
                <c:pt idx="0">
                  <c:v>DO dùng cho xe tải và xe car chở CBCNV</c:v>
                </c:pt>
              </c:strCache>
            </c:strRef>
          </c:tx>
          <c:spPr>
            <a:solidFill>
              <a:schemeClr val="accent6">
                <a:lumMod val="60000"/>
              </a:schemeClr>
            </a:solidFill>
            <a:ln>
              <a:noFill/>
            </a:ln>
            <a:effectLst/>
          </c:spPr>
          <c:invertIfNegative val="0"/>
          <c:val>
            <c:numRef>
              <c:f>'QT02BM01 Bảng định lượng KNK TH'!$C$18:$N$18</c:f>
              <c:numCache>
                <c:formatCode>_(* #,##0.000_);_(* \(#,##0.000\);_(* "-"??_);_(@_)</c:formatCode>
                <c:ptCount val="12"/>
                <c:pt idx="0">
                  <c:v>22.436191003262401</c:v>
                </c:pt>
                <c:pt idx="1">
                  <c:v>12.172422094232397</c:v>
                </c:pt>
                <c:pt idx="2">
                  <c:v>18.254554822576804</c:v>
                </c:pt>
                <c:pt idx="3">
                  <c:v>19.034873147581198</c:v>
                </c:pt>
                <c:pt idx="4">
                  <c:v>20.6199797102208</c:v>
                </c:pt>
                <c:pt idx="5">
                  <c:v>15.9815718270936</c:v>
                </c:pt>
                <c:pt idx="6">
                  <c:v>21.623246128083601</c:v>
                </c:pt>
                <c:pt idx="7">
                  <c:v>20.108830424155201</c:v>
                </c:pt>
                <c:pt idx="8">
                  <c:v>16.405716979360797</c:v>
                </c:pt>
                <c:pt idx="9">
                  <c:v>24.3312497925588</c:v>
                </c:pt>
                <c:pt idx="10">
                  <c:v>22.36278126537</c:v>
                </c:pt>
                <c:pt idx="11">
                  <c:v>24.070237391163598</c:v>
                </c:pt>
              </c:numCache>
            </c:numRef>
          </c:val>
          <c:extLst>
            <c:ext xmlns:c16="http://schemas.microsoft.com/office/drawing/2014/chart" uri="{C3380CC4-5D6E-409C-BE32-E72D297353CC}">
              <c16:uniqueId val="{0000000B-73A9-4C26-B78D-988091F2C12E}"/>
            </c:ext>
          </c:extLst>
        </c:ser>
        <c:ser>
          <c:idx val="12"/>
          <c:order val="12"/>
          <c:tx>
            <c:strRef>
              <c:f>'QT02BM01 Bảng định lượng KNK TH'!$B$19</c:f>
              <c:strCache>
                <c:ptCount val="1"/>
                <c:pt idx="0">
                  <c:v>Xăng dùng cho xe 7 chỗ</c:v>
                </c:pt>
              </c:strCache>
            </c:strRef>
          </c:tx>
          <c:spPr>
            <a:solidFill>
              <a:schemeClr val="accent1">
                <a:lumMod val="80000"/>
                <a:lumOff val="20000"/>
              </a:schemeClr>
            </a:solidFill>
            <a:ln>
              <a:noFill/>
            </a:ln>
            <a:effectLst/>
          </c:spPr>
          <c:invertIfNegative val="0"/>
          <c:val>
            <c:numRef>
              <c:f>'QT02BM01 Bảng định lượng KNK TH'!$C$19:$N$19</c:f>
              <c:numCache>
                <c:formatCode>_(* #,##0.000_);_(* \(#,##0.000\);_(* "-"??_);_(@_)</c:formatCode>
                <c:ptCount val="12"/>
                <c:pt idx="0">
                  <c:v>0.67026109119833399</c:v>
                </c:pt>
                <c:pt idx="1">
                  <c:v>0.67096027520111401</c:v>
                </c:pt>
                <c:pt idx="2">
                  <c:v>0.94930542670783202</c:v>
                </c:pt>
                <c:pt idx="3">
                  <c:v>0.87316428880509001</c:v>
                </c:pt>
                <c:pt idx="4">
                  <c:v>1.0759276496112899</c:v>
                </c:pt>
                <c:pt idx="5">
                  <c:v>1.03761236625895</c:v>
                </c:pt>
                <c:pt idx="6">
                  <c:v>0.98349552444377397</c:v>
                </c:pt>
                <c:pt idx="7">
                  <c:v>0.84724786843537803</c:v>
                </c:pt>
                <c:pt idx="8">
                  <c:v>0.80401499093014805</c:v>
                </c:pt>
                <c:pt idx="9">
                  <c:v>1.19005778499841</c:v>
                </c:pt>
                <c:pt idx="10">
                  <c:v>1.4512030100367399</c:v>
                </c:pt>
                <c:pt idx="11">
                  <c:v>1.3079402078671201</c:v>
                </c:pt>
              </c:numCache>
            </c:numRef>
          </c:val>
          <c:extLst>
            <c:ext xmlns:c16="http://schemas.microsoft.com/office/drawing/2014/chart" uri="{C3380CC4-5D6E-409C-BE32-E72D297353CC}">
              <c16:uniqueId val="{0000000C-73A9-4C26-B78D-988091F2C12E}"/>
            </c:ext>
          </c:extLst>
        </c:ser>
        <c:ser>
          <c:idx val="13"/>
          <c:order val="13"/>
          <c:tx>
            <c:strRef>
              <c:f>'QT02BM01 Bảng định lượng KNK TH'!$B$21</c:f>
              <c:strCache>
                <c:ptCount val="1"/>
                <c:pt idx="0">
                  <c:v>CO2 sử dụng cho bình cứu hỏa, diễn tập PCCC</c:v>
                </c:pt>
              </c:strCache>
            </c:strRef>
          </c:tx>
          <c:spPr>
            <a:solidFill>
              <a:schemeClr val="accent2">
                <a:lumMod val="80000"/>
                <a:lumOff val="20000"/>
              </a:schemeClr>
            </a:solidFill>
            <a:ln>
              <a:noFill/>
            </a:ln>
            <a:effectLst/>
          </c:spPr>
          <c:invertIfNegative val="0"/>
          <c:val>
            <c:numRef>
              <c:f>'QT02BM01 Bảng định lượng KNK TH'!$C$21:$N$21</c:f>
              <c:numCache>
                <c:formatCode>_(* #,##0.0000_);_(* \(#,##0.0000\);_(* "-"??_);_(@_)</c:formatCode>
                <c:ptCount val="12"/>
                <c:pt idx="0">
                  <c:v>6.1666666666666695E-4</c:v>
                </c:pt>
                <c:pt idx="1">
                  <c:v>6.1666666666666695E-4</c:v>
                </c:pt>
                <c:pt idx="2">
                  <c:v>6.1666666666666695E-4</c:v>
                </c:pt>
                <c:pt idx="3">
                  <c:v>6.1666666666666695E-4</c:v>
                </c:pt>
                <c:pt idx="4">
                  <c:v>6.1666666666666695E-4</c:v>
                </c:pt>
                <c:pt idx="5">
                  <c:v>6.1666666666666695E-4</c:v>
                </c:pt>
                <c:pt idx="6">
                  <c:v>6.1666666666666695E-4</c:v>
                </c:pt>
                <c:pt idx="7">
                  <c:v>6.1666666666666695E-4</c:v>
                </c:pt>
                <c:pt idx="8">
                  <c:v>6.1666666666666695E-4</c:v>
                </c:pt>
                <c:pt idx="9">
                  <c:v>6.1666666666666695E-4</c:v>
                </c:pt>
                <c:pt idx="10">
                  <c:v>6.1666666666666695E-4</c:v>
                </c:pt>
                <c:pt idx="11">
                  <c:v>6.1666666666666695E-4</c:v>
                </c:pt>
              </c:numCache>
            </c:numRef>
          </c:val>
          <c:extLst>
            <c:ext xmlns:c16="http://schemas.microsoft.com/office/drawing/2014/chart" uri="{C3380CC4-5D6E-409C-BE32-E72D297353CC}">
              <c16:uniqueId val="{0000000D-73A9-4C26-B78D-988091F2C12E}"/>
            </c:ext>
          </c:extLst>
        </c:ser>
        <c:ser>
          <c:idx val="14"/>
          <c:order val="14"/>
          <c:tx>
            <c:strRef>
              <c:f>'QT02BM01 Bảng định lượng KNK TH'!$B$22</c:f>
              <c:strCache>
                <c:ptCount val="1"/>
                <c:pt idx="0">
                  <c:v>Môi chất lạnh</c:v>
                </c:pt>
              </c:strCache>
            </c:strRef>
          </c:tx>
          <c:spPr>
            <a:solidFill>
              <a:schemeClr val="accent3">
                <a:lumMod val="80000"/>
                <a:lumOff val="20000"/>
              </a:schemeClr>
            </a:solidFill>
            <a:ln>
              <a:noFill/>
            </a:ln>
            <a:effectLst/>
          </c:spPr>
          <c:invertIfNegative val="0"/>
          <c:val>
            <c:numRef>
              <c:f>'QT02BM01 Bảng định lượng KNK TH'!$C$22:$N$22</c:f>
              <c:numCache>
                <c:formatCode>#,##0.000_);\(#,##0.000\)</c:formatCode>
                <c:ptCount val="12"/>
                <c:pt idx="0">
                  <c:v>12.593820000000001</c:v>
                </c:pt>
              </c:numCache>
            </c:numRef>
          </c:val>
          <c:extLst>
            <c:ext xmlns:c16="http://schemas.microsoft.com/office/drawing/2014/chart" uri="{C3380CC4-5D6E-409C-BE32-E72D297353CC}">
              <c16:uniqueId val="{0000000E-73A9-4C26-B78D-988091F2C12E}"/>
            </c:ext>
          </c:extLst>
        </c:ser>
        <c:ser>
          <c:idx val="15"/>
          <c:order val="15"/>
          <c:tx>
            <c:strRef>
              <c:f>'QT02BM01 Bảng định lượng KNK TH'!$B$23</c:f>
              <c:strCache>
                <c:ptCount val="1"/>
                <c:pt idx="0">
                  <c:v>Xử lý nước thải tập trung</c:v>
                </c:pt>
              </c:strCache>
            </c:strRef>
          </c:tx>
          <c:spPr>
            <a:solidFill>
              <a:schemeClr val="accent4">
                <a:lumMod val="80000"/>
                <a:lumOff val="20000"/>
              </a:schemeClr>
            </a:solidFill>
            <a:ln>
              <a:noFill/>
            </a:ln>
            <a:effectLst/>
          </c:spPr>
          <c:invertIfNegative val="0"/>
          <c:val>
            <c:numRef>
              <c:f>'QT02BM01 Bảng định lượng KNK TH'!$C$23:$N$23</c:f>
              <c:numCache>
                <c:formatCode>_(* #,##0.000_);_(* \(#,##0.000\);_(* "-"??_);_(@_)</c:formatCode>
                <c:ptCount val="12"/>
                <c:pt idx="0">
                  <c:v>2.1661841089506</c:v>
                </c:pt>
                <c:pt idx="1">
                  <c:v>1.36795167956828</c:v>
                </c:pt>
                <c:pt idx="2">
                  <c:v>2.07999638234479</c:v>
                </c:pt>
                <c:pt idx="3">
                  <c:v>1.9721318189004899</c:v>
                </c:pt>
                <c:pt idx="4">
                  <c:v>2.3384829482103702</c:v>
                </c:pt>
                <c:pt idx="5">
                  <c:v>1.95719626261826</c:v>
                </c:pt>
                <c:pt idx="6">
                  <c:v>2.6540654392368599</c:v>
                </c:pt>
                <c:pt idx="7">
                  <c:v>2.5624173215149399</c:v>
                </c:pt>
                <c:pt idx="8">
                  <c:v>2.21377761427701</c:v>
                </c:pt>
                <c:pt idx="9">
                  <c:v>2.4905291755619099</c:v>
                </c:pt>
                <c:pt idx="10">
                  <c:v>2.3781237849867498</c:v>
                </c:pt>
                <c:pt idx="11">
                  <c:v>2.4237039856867799</c:v>
                </c:pt>
              </c:numCache>
            </c:numRef>
          </c:val>
          <c:extLst>
            <c:ext xmlns:c16="http://schemas.microsoft.com/office/drawing/2014/chart" uri="{C3380CC4-5D6E-409C-BE32-E72D297353CC}">
              <c16:uniqueId val="{0000000F-73A9-4C26-B78D-988091F2C12E}"/>
            </c:ext>
          </c:extLst>
        </c:ser>
        <c:ser>
          <c:idx val="16"/>
          <c:order val="16"/>
          <c:tx>
            <c:strRef>
              <c:f>'QT02BM01 Bảng định lượng KNK TH'!$B$24</c:f>
              <c:strCache>
                <c:ptCount val="1"/>
                <c:pt idx="0">
                  <c:v>Số lượng phân bón sử dụng cho cây</c:v>
                </c:pt>
              </c:strCache>
            </c:strRef>
          </c:tx>
          <c:spPr>
            <a:solidFill>
              <a:schemeClr val="accent5">
                <a:lumMod val="80000"/>
                <a:lumOff val="20000"/>
              </a:schemeClr>
            </a:solidFill>
            <a:ln>
              <a:noFill/>
            </a:ln>
            <a:effectLst/>
          </c:spPr>
          <c:invertIfNegative val="0"/>
          <c:val>
            <c:numRef>
              <c:f>'QT02BM01 Bảng định lượng KNK TH'!$C$24:$N$24</c:f>
              <c:numCache>
                <c:formatCode>_(* #,##0.000_);_(* \(#,##0.000\);_(* "-"??_);_(@_)</c:formatCode>
                <c:ptCount val="12"/>
                <c:pt idx="6">
                  <c:v>5.577E-2</c:v>
                </c:pt>
              </c:numCache>
            </c:numRef>
          </c:val>
          <c:extLst>
            <c:ext xmlns:c16="http://schemas.microsoft.com/office/drawing/2014/chart" uri="{C3380CC4-5D6E-409C-BE32-E72D297353CC}">
              <c16:uniqueId val="{00000010-73A9-4C26-B78D-988091F2C12E}"/>
            </c:ext>
          </c:extLst>
        </c:ser>
        <c:ser>
          <c:idx val="17"/>
          <c:order val="17"/>
          <c:tx>
            <c:strRef>
              <c:f>'QT02BM01 Bảng định lượng KNK TH'!$B$26</c:f>
              <c:strCache>
                <c:ptCount val="1"/>
                <c:pt idx="0">
                  <c:v>Điện năng mua từ lưới điện EVN</c:v>
                </c:pt>
              </c:strCache>
            </c:strRef>
          </c:tx>
          <c:spPr>
            <a:solidFill>
              <a:schemeClr val="accent6">
                <a:lumMod val="80000"/>
                <a:lumOff val="20000"/>
              </a:schemeClr>
            </a:solidFill>
            <a:ln>
              <a:noFill/>
            </a:ln>
            <a:effectLst/>
          </c:spPr>
          <c:invertIfNegative val="0"/>
          <c:val>
            <c:numRef>
              <c:f>'QT02BM01 Bảng định lượng KNK TH'!$C$26:$N$26</c:f>
              <c:numCache>
                <c:formatCode>_(* #,##0.000_);_(* \(#,##0.000\);_(* "-"??_);_(@_)</c:formatCode>
                <c:ptCount val="12"/>
                <c:pt idx="0">
                  <c:v>1200.7136832000001</c:v>
                </c:pt>
                <c:pt idx="1">
                  <c:v>699.13275392000003</c:v>
                </c:pt>
                <c:pt idx="2">
                  <c:v>1253.1777114106101</c:v>
                </c:pt>
                <c:pt idx="3">
                  <c:v>1229.17813045501</c:v>
                </c:pt>
                <c:pt idx="4">
                  <c:v>1343.1964274291499</c:v>
                </c:pt>
                <c:pt idx="5">
                  <c:v>1212.8833825700899</c:v>
                </c:pt>
                <c:pt idx="6">
                  <c:v>1428.5760511999999</c:v>
                </c:pt>
                <c:pt idx="7">
                  <c:v>1586.8328320000001</c:v>
                </c:pt>
                <c:pt idx="8">
                  <c:v>1326.5351872000001</c:v>
                </c:pt>
                <c:pt idx="9">
                  <c:v>1518.3663423999999</c:v>
                </c:pt>
                <c:pt idx="10">
                  <c:v>1485.4280960000001</c:v>
                </c:pt>
                <c:pt idx="11">
                  <c:v>1495.4789184000001</c:v>
                </c:pt>
              </c:numCache>
            </c:numRef>
          </c:val>
          <c:extLst>
            <c:ext xmlns:c16="http://schemas.microsoft.com/office/drawing/2014/chart" uri="{C3380CC4-5D6E-409C-BE32-E72D297353CC}">
              <c16:uniqueId val="{00000011-73A9-4C26-B78D-988091F2C12E}"/>
            </c:ext>
          </c:extLst>
        </c:ser>
        <c:dLbls>
          <c:showLegendKey val="0"/>
          <c:showVal val="0"/>
          <c:showCatName val="0"/>
          <c:showSerName val="0"/>
          <c:showPercent val="0"/>
          <c:showBubbleSize val="0"/>
        </c:dLbls>
        <c:gapWidth val="219"/>
        <c:overlap val="-27"/>
        <c:axId val="218881104"/>
        <c:axId val="219677792"/>
      </c:barChart>
      <c:catAx>
        <c:axId val="218881104"/>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19677792"/>
        <c:crosses val="autoZero"/>
        <c:auto val="1"/>
        <c:lblAlgn val="ctr"/>
        <c:lblOffset val="100"/>
        <c:noMultiLvlLbl val="0"/>
      </c:catAx>
      <c:valAx>
        <c:axId val="219677792"/>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000_);_(* \(#,##0.000\);_(* &quot;-&quot;??_);_(@_)"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18881104"/>
        <c:crosses val="autoZero"/>
        <c:crossBetween val="between"/>
      </c:valAx>
      <c:spPr>
        <a:noFill/>
        <a:ln>
          <a:noFill/>
        </a:ln>
        <a:effectLst/>
      </c:spPr>
    </c:plotArea>
    <c:plotVisOnly val="1"/>
    <c:dispBlanksAs val="gap"/>
    <c:showDLblsOverMax val="0"/>
    <c:extLst>
      <c:ext uri="{0b15fc19-7d7d-44ad-8c2d-2c3a37ce22c3}">
        <chartProps xmlns="https://web.wps.cn/et/2018/main" chartId="{0504dea3-993a-43c8-af59-0888aafa41df}"/>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vi-VN" sz="2000" b="1"/>
              <a:t>B</a:t>
            </a:r>
            <a:r>
              <a:rPr lang="en-US" sz="2000" b="1"/>
              <a:t>iểu</a:t>
            </a:r>
            <a:r>
              <a:rPr lang="en-US" sz="2000" b="1" baseline="0"/>
              <a:t> đồ</a:t>
            </a:r>
            <a:r>
              <a:rPr lang="vi-VN" sz="2000" b="1"/>
              <a:t> định lượng khí nhà kính theo tỷ lệ</a:t>
            </a:r>
          </a:p>
        </c:rich>
      </c:tx>
      <c:layout>
        <c:manualLayout>
          <c:xMode val="edge"/>
          <c:yMode val="edge"/>
          <c:x val="0.27780973994297697"/>
          <c:y val="3.1598715074902903E-2"/>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3862254312316903E-2"/>
          <c:y val="0.33032810605225399"/>
          <c:w val="0.96613774568768296"/>
          <c:h val="0.51684320606572798"/>
        </c:manualLayout>
      </c:layout>
      <c:pie3DChart>
        <c:varyColors val="1"/>
        <c:ser>
          <c:idx val="0"/>
          <c:order val="0"/>
          <c:tx>
            <c:v>Bảng định lượng khí nhà kính theo tỷ lệ</c:v>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A8BE-40C9-B40C-BD2B1C731844}"/>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A8BE-40C9-B40C-BD2B1C731844}"/>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A8BE-40C9-B40C-BD2B1C731844}"/>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A8BE-40C9-B40C-BD2B1C731844}"/>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A8BE-40C9-B40C-BD2B1C731844}"/>
              </c:ext>
            </c:extLst>
          </c:dPt>
          <c:dPt>
            <c:idx val="5"/>
            <c:bubble3D val="0"/>
            <c:spPr>
              <a:solidFill>
                <a:schemeClr val="accent6"/>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B-A8BE-40C9-B40C-BD2B1C731844}"/>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D-A8BE-40C9-B40C-BD2B1C731844}"/>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F-A8BE-40C9-B40C-BD2B1C731844}"/>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1-A8BE-40C9-B40C-BD2B1C731844}"/>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3-A8BE-40C9-B40C-BD2B1C731844}"/>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5-A8BE-40C9-B40C-BD2B1C731844}"/>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7-A8BE-40C9-B40C-BD2B1C731844}"/>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9-A8BE-40C9-B40C-BD2B1C731844}"/>
              </c:ext>
            </c:extLst>
          </c:dPt>
          <c:dPt>
            <c:idx val="13"/>
            <c:bubble3D val="0"/>
            <c:spPr>
              <a:solidFill>
                <a:schemeClr val="accent2">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B-A8BE-40C9-B40C-BD2B1C731844}"/>
              </c:ext>
            </c:extLst>
          </c:dPt>
          <c:dPt>
            <c:idx val="14"/>
            <c:bubble3D val="0"/>
            <c:spPr>
              <a:solidFill>
                <a:schemeClr val="accent3">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D-A8BE-40C9-B40C-BD2B1C731844}"/>
              </c:ext>
            </c:extLst>
          </c:dPt>
          <c:dPt>
            <c:idx val="15"/>
            <c:bubble3D val="0"/>
            <c:spPr>
              <a:solidFill>
                <a:schemeClr val="accent4">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F-A8BE-40C9-B40C-BD2B1C731844}"/>
              </c:ext>
            </c:extLst>
          </c:dPt>
          <c:dPt>
            <c:idx val="16"/>
            <c:bubble3D val="0"/>
            <c:spPr>
              <a:solidFill>
                <a:schemeClr val="accent5">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1-A8BE-40C9-B40C-BD2B1C731844}"/>
              </c:ext>
            </c:extLst>
          </c:dPt>
          <c:dPt>
            <c:idx val="17"/>
            <c:bubble3D val="0"/>
            <c:spPr>
              <a:solidFill>
                <a:schemeClr val="accent6">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3-A8BE-40C9-B40C-BD2B1C731844}"/>
              </c:ext>
            </c:extLst>
          </c:dPt>
          <c:dPt>
            <c:idx val="18"/>
            <c:bubble3D val="0"/>
            <c:spPr>
              <a:solidFill>
                <a:schemeClr val="accent1">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5-A8BE-40C9-B40C-BD2B1C731844}"/>
              </c:ext>
            </c:extLst>
          </c:dPt>
          <c:dPt>
            <c:idx val="19"/>
            <c:bubble3D val="0"/>
            <c:spPr>
              <a:solidFill>
                <a:schemeClr val="accent2">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7-A8BE-40C9-B40C-BD2B1C731844}"/>
              </c:ext>
            </c:extLst>
          </c:dPt>
          <c:dPt>
            <c:idx val="20"/>
            <c:bubble3D val="0"/>
            <c:spPr>
              <a:solidFill>
                <a:schemeClr val="accent3">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9-A8BE-40C9-B40C-BD2B1C731844}"/>
              </c:ext>
            </c:extLst>
          </c:dPt>
          <c:dPt>
            <c:idx val="21"/>
            <c:bubble3D val="0"/>
            <c:spPr>
              <a:solidFill>
                <a:schemeClr val="accent4">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B-A8BE-40C9-B40C-BD2B1C731844}"/>
              </c:ext>
            </c:extLst>
          </c:dPt>
          <c:dPt>
            <c:idx val="22"/>
            <c:bubble3D val="0"/>
            <c:spPr>
              <a:solidFill>
                <a:schemeClr val="accent5">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D-A8BE-40C9-B40C-BD2B1C731844}"/>
              </c:ext>
            </c:extLst>
          </c:dPt>
          <c:dLbls>
            <c:dLbl>
              <c:idx val="0"/>
              <c:delete val="1"/>
              <c:extLst>
                <c:ext xmlns:c15="http://schemas.microsoft.com/office/drawing/2012/chart" uri="{CE6537A1-D6FC-4f65-9D91-7224C49458BB}"/>
                <c:ext xmlns:c16="http://schemas.microsoft.com/office/drawing/2014/chart" uri="{C3380CC4-5D6E-409C-BE32-E72D297353CC}">
                  <c16:uniqueId val="{00000001-A8BE-40C9-B40C-BD2B1C731844}"/>
                </c:ext>
              </c:extLst>
            </c:dLbl>
            <c:dLbl>
              <c:idx val="1"/>
              <c:delete val="1"/>
              <c:extLst>
                <c:ext xmlns:c15="http://schemas.microsoft.com/office/drawing/2012/chart" uri="{CE6537A1-D6FC-4f65-9D91-7224C49458BB}"/>
                <c:ext xmlns:c16="http://schemas.microsoft.com/office/drawing/2014/chart" uri="{C3380CC4-5D6E-409C-BE32-E72D297353CC}">
                  <c16:uniqueId val="{00000003-A8BE-40C9-B40C-BD2B1C731844}"/>
                </c:ext>
              </c:extLst>
            </c:dLbl>
            <c:dLbl>
              <c:idx val="2"/>
              <c:delete val="1"/>
              <c:extLst>
                <c:ext xmlns:c15="http://schemas.microsoft.com/office/drawing/2012/chart" uri="{CE6537A1-D6FC-4f65-9D91-7224C49458BB}"/>
                <c:ext xmlns:c16="http://schemas.microsoft.com/office/drawing/2014/chart" uri="{C3380CC4-5D6E-409C-BE32-E72D297353CC}">
                  <c16:uniqueId val="{00000005-A8BE-40C9-B40C-BD2B1C731844}"/>
                </c:ext>
              </c:extLst>
            </c:dLbl>
            <c:dLbl>
              <c:idx val="3"/>
              <c:delete val="1"/>
              <c:extLst>
                <c:ext xmlns:c15="http://schemas.microsoft.com/office/drawing/2012/chart" uri="{CE6537A1-D6FC-4f65-9D91-7224C49458BB}"/>
                <c:ext xmlns:c16="http://schemas.microsoft.com/office/drawing/2014/chart" uri="{C3380CC4-5D6E-409C-BE32-E72D297353CC}">
                  <c16:uniqueId val="{00000007-A8BE-40C9-B40C-BD2B1C731844}"/>
                </c:ext>
              </c:extLst>
            </c:dLbl>
            <c:dLbl>
              <c:idx val="4"/>
              <c:delete val="1"/>
              <c:extLst>
                <c:ext xmlns:c15="http://schemas.microsoft.com/office/drawing/2012/chart" uri="{CE6537A1-D6FC-4f65-9D91-7224C49458BB}"/>
                <c:ext xmlns:c16="http://schemas.microsoft.com/office/drawing/2014/chart" uri="{C3380CC4-5D6E-409C-BE32-E72D297353CC}">
                  <c16:uniqueId val="{00000009-A8BE-40C9-B40C-BD2B1C731844}"/>
                </c:ext>
              </c:extLst>
            </c:dLbl>
            <c:dLbl>
              <c:idx val="5"/>
              <c:delete val="1"/>
              <c:extLst>
                <c:ext xmlns:c15="http://schemas.microsoft.com/office/drawing/2012/chart" uri="{CE6537A1-D6FC-4f65-9D91-7224C49458BB}"/>
                <c:ext xmlns:c16="http://schemas.microsoft.com/office/drawing/2014/chart" uri="{C3380CC4-5D6E-409C-BE32-E72D297353CC}">
                  <c16:uniqueId val="{0000000B-A8BE-40C9-B40C-BD2B1C731844}"/>
                </c:ext>
              </c:extLst>
            </c:dLbl>
            <c:dLbl>
              <c:idx val="6"/>
              <c:delete val="1"/>
              <c:extLst>
                <c:ext xmlns:c15="http://schemas.microsoft.com/office/drawing/2012/chart" uri="{CE6537A1-D6FC-4f65-9D91-7224C49458BB}"/>
                <c:ext xmlns:c16="http://schemas.microsoft.com/office/drawing/2014/chart" uri="{C3380CC4-5D6E-409C-BE32-E72D297353CC}">
                  <c16:uniqueId val="{0000000D-A8BE-40C9-B40C-BD2B1C731844}"/>
                </c:ext>
              </c:extLst>
            </c:dLbl>
            <c:dLbl>
              <c:idx val="7"/>
              <c:delete val="1"/>
              <c:extLst>
                <c:ext xmlns:c15="http://schemas.microsoft.com/office/drawing/2012/chart" uri="{CE6537A1-D6FC-4f65-9D91-7224C49458BB}"/>
                <c:ext xmlns:c16="http://schemas.microsoft.com/office/drawing/2014/chart" uri="{C3380CC4-5D6E-409C-BE32-E72D297353CC}">
                  <c16:uniqueId val="{0000000F-A8BE-40C9-B40C-BD2B1C731844}"/>
                </c:ext>
              </c:extLst>
            </c:dLbl>
            <c:dLbl>
              <c:idx val="8"/>
              <c:delete val="1"/>
              <c:extLst>
                <c:ext xmlns:c15="http://schemas.microsoft.com/office/drawing/2012/chart" uri="{CE6537A1-D6FC-4f65-9D91-7224C49458BB}"/>
                <c:ext xmlns:c16="http://schemas.microsoft.com/office/drawing/2014/chart" uri="{C3380CC4-5D6E-409C-BE32-E72D297353CC}">
                  <c16:uniqueId val="{00000011-A8BE-40C9-B40C-BD2B1C731844}"/>
                </c:ext>
              </c:extLst>
            </c:dLbl>
            <c:dLbl>
              <c:idx val="9"/>
              <c:delete val="1"/>
              <c:extLst>
                <c:ext xmlns:c15="http://schemas.microsoft.com/office/drawing/2012/chart" uri="{CE6537A1-D6FC-4f65-9D91-7224C49458BB}"/>
                <c:ext xmlns:c16="http://schemas.microsoft.com/office/drawing/2014/chart" uri="{C3380CC4-5D6E-409C-BE32-E72D297353CC}">
                  <c16:uniqueId val="{00000013-A8BE-40C9-B40C-BD2B1C731844}"/>
                </c:ext>
              </c:extLst>
            </c:dLbl>
            <c:dLbl>
              <c:idx val="10"/>
              <c:delete val="1"/>
              <c:extLst>
                <c:ext xmlns:c15="http://schemas.microsoft.com/office/drawing/2012/chart" uri="{CE6537A1-D6FC-4f65-9D91-7224C49458BB}"/>
                <c:ext xmlns:c16="http://schemas.microsoft.com/office/drawing/2014/chart" uri="{C3380CC4-5D6E-409C-BE32-E72D297353CC}">
                  <c16:uniqueId val="{00000015-A8BE-40C9-B40C-BD2B1C731844}"/>
                </c:ext>
              </c:extLst>
            </c:dLbl>
            <c:dLbl>
              <c:idx val="11"/>
              <c:delete val="1"/>
              <c:extLst>
                <c:ext xmlns:c15="http://schemas.microsoft.com/office/drawing/2012/chart" uri="{CE6537A1-D6FC-4f65-9D91-7224C49458BB}"/>
                <c:ext xmlns:c16="http://schemas.microsoft.com/office/drawing/2014/chart" uri="{C3380CC4-5D6E-409C-BE32-E72D297353CC}">
                  <c16:uniqueId val="{00000017-A8BE-40C9-B40C-BD2B1C731844}"/>
                </c:ext>
              </c:extLst>
            </c:dLbl>
            <c:dLbl>
              <c:idx val="12"/>
              <c:delete val="1"/>
              <c:extLst>
                <c:ext xmlns:c15="http://schemas.microsoft.com/office/drawing/2012/chart" uri="{CE6537A1-D6FC-4f65-9D91-7224C49458BB}"/>
                <c:ext xmlns:c16="http://schemas.microsoft.com/office/drawing/2014/chart" uri="{C3380CC4-5D6E-409C-BE32-E72D297353CC}">
                  <c16:uniqueId val="{00000019-A8BE-40C9-B40C-BD2B1C731844}"/>
                </c:ext>
              </c:extLst>
            </c:dLbl>
            <c:dLbl>
              <c:idx val="13"/>
              <c:delete val="1"/>
              <c:extLst>
                <c:ext xmlns:c15="http://schemas.microsoft.com/office/drawing/2012/chart" uri="{CE6537A1-D6FC-4f65-9D91-7224C49458BB}"/>
                <c:ext xmlns:c16="http://schemas.microsoft.com/office/drawing/2014/chart" uri="{C3380CC4-5D6E-409C-BE32-E72D297353CC}">
                  <c16:uniqueId val="{0000001B-A8BE-40C9-B40C-BD2B1C731844}"/>
                </c:ext>
              </c:extLst>
            </c:dLbl>
            <c:dLbl>
              <c:idx val="14"/>
              <c:delete val="1"/>
              <c:extLst>
                <c:ext xmlns:c15="http://schemas.microsoft.com/office/drawing/2012/chart" uri="{CE6537A1-D6FC-4f65-9D91-7224C49458BB}"/>
                <c:ext xmlns:c16="http://schemas.microsoft.com/office/drawing/2014/chart" uri="{C3380CC4-5D6E-409C-BE32-E72D297353CC}">
                  <c16:uniqueId val="{0000001D-A8BE-40C9-B40C-BD2B1C731844}"/>
                </c:ext>
              </c:extLst>
            </c:dLbl>
            <c:dLbl>
              <c:idx val="15"/>
              <c:delete val="1"/>
              <c:extLst>
                <c:ext xmlns:c15="http://schemas.microsoft.com/office/drawing/2012/chart" uri="{CE6537A1-D6FC-4f65-9D91-7224C49458BB}"/>
                <c:ext xmlns:c16="http://schemas.microsoft.com/office/drawing/2014/chart" uri="{C3380CC4-5D6E-409C-BE32-E72D297353CC}">
                  <c16:uniqueId val="{0000001F-A8BE-40C9-B40C-BD2B1C731844}"/>
                </c:ext>
              </c:extLst>
            </c:dLbl>
            <c:dLbl>
              <c:idx val="16"/>
              <c:delete val="1"/>
              <c:extLst>
                <c:ext xmlns:c15="http://schemas.microsoft.com/office/drawing/2012/chart" uri="{CE6537A1-D6FC-4f65-9D91-7224C49458BB}"/>
                <c:ext xmlns:c16="http://schemas.microsoft.com/office/drawing/2014/chart" uri="{C3380CC4-5D6E-409C-BE32-E72D297353CC}">
                  <c16:uniqueId val="{00000021-A8BE-40C9-B40C-BD2B1C731844}"/>
                </c:ext>
              </c:extLst>
            </c:dLbl>
            <c:dLbl>
              <c:idx val="17"/>
              <c:delete val="1"/>
              <c:extLst>
                <c:ext xmlns:c15="http://schemas.microsoft.com/office/drawing/2012/chart" uri="{CE6537A1-D6FC-4f65-9D91-7224C49458BB}"/>
                <c:ext xmlns:c16="http://schemas.microsoft.com/office/drawing/2014/chart" uri="{C3380CC4-5D6E-409C-BE32-E72D297353CC}">
                  <c16:uniqueId val="{00000023-A8BE-40C9-B40C-BD2B1C731844}"/>
                </c:ext>
              </c:extLst>
            </c:dLbl>
            <c:dLbl>
              <c:idx val="18"/>
              <c:delete val="1"/>
              <c:extLst>
                <c:ext xmlns:c15="http://schemas.microsoft.com/office/drawing/2012/chart" uri="{CE6537A1-D6FC-4f65-9D91-7224C49458BB}"/>
                <c:ext xmlns:c16="http://schemas.microsoft.com/office/drawing/2014/chart" uri="{C3380CC4-5D6E-409C-BE32-E72D297353CC}">
                  <c16:uniqueId val="{00000025-A8BE-40C9-B40C-BD2B1C731844}"/>
                </c:ext>
              </c:extLst>
            </c:dLbl>
            <c:dLbl>
              <c:idx val="19"/>
              <c:delete val="1"/>
              <c:extLst>
                <c:ext xmlns:c15="http://schemas.microsoft.com/office/drawing/2012/chart" uri="{CE6537A1-D6FC-4f65-9D91-7224C49458BB}"/>
                <c:ext xmlns:c16="http://schemas.microsoft.com/office/drawing/2014/chart" uri="{C3380CC4-5D6E-409C-BE32-E72D297353CC}">
                  <c16:uniqueId val="{00000027-A8BE-40C9-B40C-BD2B1C731844}"/>
                </c:ext>
              </c:extLst>
            </c:dLbl>
            <c:dLbl>
              <c:idx val="20"/>
              <c:delete val="1"/>
              <c:extLst>
                <c:ext xmlns:c15="http://schemas.microsoft.com/office/drawing/2012/chart" uri="{CE6537A1-D6FC-4f65-9D91-7224C49458BB}"/>
                <c:ext xmlns:c16="http://schemas.microsoft.com/office/drawing/2014/chart" uri="{C3380CC4-5D6E-409C-BE32-E72D297353CC}">
                  <c16:uniqueId val="{00000029-A8BE-40C9-B40C-BD2B1C731844}"/>
                </c:ext>
              </c:extLst>
            </c:dLbl>
            <c:dLbl>
              <c:idx val="21"/>
              <c:delete val="1"/>
              <c:extLst>
                <c:ext xmlns:c15="http://schemas.microsoft.com/office/drawing/2012/chart" uri="{CE6537A1-D6FC-4f65-9D91-7224C49458BB}"/>
                <c:ext xmlns:c16="http://schemas.microsoft.com/office/drawing/2014/chart" uri="{C3380CC4-5D6E-409C-BE32-E72D297353CC}">
                  <c16:uniqueId val="{0000002B-A8BE-40C9-B40C-BD2B1C731844}"/>
                </c:ext>
              </c:extLst>
            </c:dLbl>
            <c:dLbl>
              <c:idx val="2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A8BE-40C9-B40C-BD2B1C731844}"/>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s>
          <c:val>
            <c:numRef>
              <c:f>'QT02BM01 Bảng định lượng KNK TH'!$P$6:$P$26</c:f>
              <c:numCache>
                <c:formatCode>_(* #,##0.000_);_(* \(#,##0.000\);_(* "-"??_);_(@_)</c:formatCode>
                <c:ptCount val="21"/>
                <c:pt idx="0">
                  <c:v>5.666869686229108E-3</c:v>
                </c:pt>
                <c:pt idx="1">
                  <c:v>0.4940465781204128</c:v>
                </c:pt>
                <c:pt idx="2">
                  <c:v>3.696005735986433E-2</c:v>
                </c:pt>
                <c:pt idx="3">
                  <c:v>1.6266638926833762E-3</c:v>
                </c:pt>
                <c:pt idx="4">
                  <c:v>2.0556233677281642E-3</c:v>
                </c:pt>
                <c:pt idx="5">
                  <c:v>3.0319427200627729</c:v>
                </c:pt>
                <c:pt idx="6">
                  <c:v>6.474429880234089E-3</c:v>
                </c:pt>
                <c:pt idx="7">
                  <c:v>5.8801158052452195E-2</c:v>
                </c:pt>
                <c:pt idx="8">
                  <c:v>0.34908810121770301</c:v>
                </c:pt>
                <c:pt idx="9">
                  <c:v>0.69947128843787543</c:v>
                </c:pt>
                <c:pt idx="11">
                  <c:v>0.26923260424741141</c:v>
                </c:pt>
                <c:pt idx="12">
                  <c:v>1.4042643621010276</c:v>
                </c:pt>
                <c:pt idx="13">
                  <c:v>7.0160619219513901E-2</c:v>
                </c:pt>
                <c:pt idx="15" formatCode="_(* #,##0.00000_);_(* \(#,##0.00000\);_(* &quot;-&quot;??_);_(@_)">
                  <c:v>4.3772046566752665E-5</c:v>
                </c:pt>
                <c:pt idx="16">
                  <c:v>7.4494226418013662E-2</c:v>
                </c:pt>
                <c:pt idx="17">
                  <c:v>0.15736973811496158</c:v>
                </c:pt>
                <c:pt idx="18" formatCode="_(* #,##0.0000_);_(* \(#,##0.0000\);_(* &quot;-&quot;??_);_(@_)">
                  <c:v>3.2988743743618835E-4</c:v>
                </c:pt>
                <c:pt idx="20" formatCode="_(* #,##0.00_);_(* \(#,##0.00\);_(* &quot;-&quot;??_);_(@_)">
                  <c:v>93.337971300337117</c:v>
                </c:pt>
              </c:numCache>
            </c:numRef>
          </c:val>
          <c:extLst>
            <c:ext xmlns:c16="http://schemas.microsoft.com/office/drawing/2014/chart" uri="{C3380CC4-5D6E-409C-BE32-E72D297353CC}">
              <c16:uniqueId val="{0000002E-A8BE-40C9-B40C-BD2B1C731844}"/>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edb51be-1952-4acb-8b7a-9454c82a36b4}"/>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en-US" sz="2000" b="1"/>
              <a:t>BIỂU</a:t>
            </a:r>
            <a:r>
              <a:rPr lang="en-US" sz="2000" b="1" baseline="0"/>
              <a:t> ĐỒ CÁC NGUỒN PHÁT THẢI KNK THEO ĐỊNH LƯỢNG (tons CO2eq)</a:t>
            </a:r>
            <a:endParaRPr lang="en-US" sz="2000" b="1"/>
          </a:p>
        </c:rich>
      </c:tx>
      <c:overlay val="0"/>
      <c:spPr>
        <a:noFill/>
        <a:ln>
          <a:noFill/>
        </a:ln>
        <a:effectLst/>
      </c:spPr>
    </c:title>
    <c:autoTitleDeleted val="0"/>
    <c:plotArea>
      <c:layout/>
      <c:barChart>
        <c:barDir val="col"/>
        <c:grouping val="clustered"/>
        <c:varyColors val="0"/>
        <c:ser>
          <c:idx val="0"/>
          <c:order val="0"/>
          <c:tx>
            <c:strRef>
              <c:f>'QT02BM01 Bảng định lượng KNK TH'!$B$6</c:f>
              <c:strCache>
                <c:ptCount val="1"/>
                <c:pt idx="0">
                  <c:v>DO máy phát điện</c:v>
                </c:pt>
              </c:strCache>
            </c:strRef>
          </c:tx>
          <c:spPr>
            <a:solidFill>
              <a:schemeClr val="accent1"/>
            </a:solidFill>
            <a:ln>
              <a:noFill/>
            </a:ln>
            <a:effectLst/>
          </c:spPr>
          <c:invertIfNegative val="0"/>
          <c:val>
            <c:numRef>
              <c:f>'QT02BM01 Bảng định lượng KNK TH'!$C$6:$N$6</c:f>
              <c:numCache>
                <c:formatCode>_(* #,##0.000_);_(* \(#,##0.000\);_(* "-"??_);_(@_)</c:formatCode>
                <c:ptCount val="12"/>
                <c:pt idx="0">
                  <c:v>5.7736781549999998E-2</c:v>
                </c:pt>
                <c:pt idx="1">
                  <c:v>5.505134985E-2</c:v>
                </c:pt>
                <c:pt idx="2">
                  <c:v>6.310764495E-2</c:v>
                </c:pt>
                <c:pt idx="3">
                  <c:v>0.13292886914999999</c:v>
                </c:pt>
                <c:pt idx="4">
                  <c:v>0.21080638844999999</c:v>
                </c:pt>
                <c:pt idx="5">
                  <c:v>9.9360972899999997E-2</c:v>
                </c:pt>
                <c:pt idx="6">
                  <c:v>6.8478508349999995E-2</c:v>
                </c:pt>
                <c:pt idx="7">
                  <c:v>6.0422213250000002E-2</c:v>
                </c:pt>
                <c:pt idx="8">
                  <c:v>6.310764495E-2</c:v>
                </c:pt>
                <c:pt idx="9">
                  <c:v>3.6253327949999997E-2</c:v>
                </c:pt>
                <c:pt idx="10">
                  <c:v>6.5793076650000004E-2</c:v>
                </c:pt>
                <c:pt idx="11">
                  <c:v>4.4980980975000001E-2</c:v>
                </c:pt>
              </c:numCache>
            </c:numRef>
          </c:val>
          <c:extLst>
            <c:ext xmlns:c16="http://schemas.microsoft.com/office/drawing/2014/chart" uri="{C3380CC4-5D6E-409C-BE32-E72D297353CC}">
              <c16:uniqueId val="{00000000-853D-4087-95C5-37DAE654EB0E}"/>
            </c:ext>
          </c:extLst>
        </c:ser>
        <c:ser>
          <c:idx val="1"/>
          <c:order val="1"/>
          <c:tx>
            <c:strRef>
              <c:f>'QT02BM01 Bảng định lượng KNK TH'!$B$7</c:f>
              <c:strCache>
                <c:ptCount val="1"/>
                <c:pt idx="0">
                  <c:v>LPG sản xuất</c:v>
                </c:pt>
              </c:strCache>
            </c:strRef>
          </c:tx>
          <c:spPr>
            <a:solidFill>
              <a:schemeClr val="accent2"/>
            </a:solidFill>
            <a:ln>
              <a:noFill/>
            </a:ln>
            <a:effectLst/>
          </c:spPr>
          <c:invertIfNegative val="0"/>
          <c:val>
            <c:numRef>
              <c:f>'QT02BM01 Bảng định lượng KNK TH'!$C$7:$N$7</c:f>
              <c:numCache>
                <c:formatCode>_(* #,##0.000_);_(* \(#,##0.000\);_(* "-"??_);_(@_)</c:formatCode>
                <c:ptCount val="12"/>
                <c:pt idx="0">
                  <c:v>6.5674492505600002</c:v>
                </c:pt>
                <c:pt idx="1">
                  <c:v>5.229464024576</c:v>
                </c:pt>
                <c:pt idx="2">
                  <c:v>6.7099406443519998</c:v>
                </c:pt>
                <c:pt idx="3">
                  <c:v>6.683055475712</c:v>
                </c:pt>
                <c:pt idx="4">
                  <c:v>8.1796631966719993</c:v>
                </c:pt>
                <c:pt idx="5">
                  <c:v>6.0933741102079999</c:v>
                </c:pt>
                <c:pt idx="6">
                  <c:v>7.806258076672</c:v>
                </c:pt>
                <c:pt idx="7">
                  <c:v>7.3055964917759999</c:v>
                </c:pt>
                <c:pt idx="8">
                  <c:v>6.7643084298240002</c:v>
                </c:pt>
                <c:pt idx="9">
                  <c:v>7.64136237568</c:v>
                </c:pt>
                <c:pt idx="10">
                  <c:v>7.4322555084799999</c:v>
                </c:pt>
                <c:pt idx="11">
                  <c:v>7.1096334847999998</c:v>
                </c:pt>
              </c:numCache>
            </c:numRef>
          </c:val>
          <c:extLst>
            <c:ext xmlns:c16="http://schemas.microsoft.com/office/drawing/2014/chart" uri="{C3380CC4-5D6E-409C-BE32-E72D297353CC}">
              <c16:uniqueId val="{00000001-853D-4087-95C5-37DAE654EB0E}"/>
            </c:ext>
          </c:extLst>
        </c:ser>
        <c:ser>
          <c:idx val="2"/>
          <c:order val="2"/>
          <c:tx>
            <c:strRef>
              <c:f>'QT02BM01 Bảng định lượng KNK TH'!$B$8</c:f>
              <c:strCache>
                <c:ptCount val="1"/>
                <c:pt idx="0">
                  <c:v>LPG nhà bếp</c:v>
                </c:pt>
              </c:strCache>
            </c:strRef>
          </c:tx>
          <c:spPr>
            <a:solidFill>
              <a:schemeClr val="accent3"/>
            </a:solidFill>
            <a:ln>
              <a:noFill/>
            </a:ln>
            <a:effectLst/>
          </c:spPr>
          <c:invertIfNegative val="0"/>
          <c:val>
            <c:numRef>
              <c:f>'QT02BM01 Bảng định lượng KNK TH'!$C$8:$N$8</c:f>
              <c:numCache>
                <c:formatCode>_(* #,##0.000_);_(* \(#,##0.000\);_(* "-"??_);_(@_)</c:formatCode>
                <c:ptCount val="12"/>
                <c:pt idx="0">
                  <c:v>0.46683306384000001</c:v>
                </c:pt>
                <c:pt idx="1">
                  <c:v>0.46683306384000001</c:v>
                </c:pt>
                <c:pt idx="2">
                  <c:v>0.50274329951999996</c:v>
                </c:pt>
                <c:pt idx="3">
                  <c:v>0.46683306384000001</c:v>
                </c:pt>
                <c:pt idx="4">
                  <c:v>0.46683306384000001</c:v>
                </c:pt>
                <c:pt idx="5">
                  <c:v>0.43092282815999999</c:v>
                </c:pt>
                <c:pt idx="6">
                  <c:v>0.61047400655999995</c:v>
                </c:pt>
                <c:pt idx="7">
                  <c:v>0.43092282815999999</c:v>
                </c:pt>
                <c:pt idx="8">
                  <c:v>0.43092282815999999</c:v>
                </c:pt>
                <c:pt idx="9">
                  <c:v>0.68229447791999998</c:v>
                </c:pt>
                <c:pt idx="10">
                  <c:v>0.57456377087999999</c:v>
                </c:pt>
                <c:pt idx="11">
                  <c:v>0.71820471360000004</c:v>
                </c:pt>
              </c:numCache>
            </c:numRef>
          </c:val>
          <c:extLst>
            <c:ext xmlns:c16="http://schemas.microsoft.com/office/drawing/2014/chart" uri="{C3380CC4-5D6E-409C-BE32-E72D297353CC}">
              <c16:uniqueId val="{00000002-853D-4087-95C5-37DAE654EB0E}"/>
            </c:ext>
          </c:extLst>
        </c:ser>
        <c:ser>
          <c:idx val="3"/>
          <c:order val="3"/>
          <c:tx>
            <c:strRef>
              <c:f>'QT02BM01 Bảng định lượng KNK TH'!$B$9</c:f>
              <c:strCache>
                <c:ptCount val="1"/>
                <c:pt idx="0">
                  <c:v>Methanol</c:v>
                </c:pt>
              </c:strCache>
            </c:strRef>
          </c:tx>
          <c:spPr>
            <a:solidFill>
              <a:schemeClr val="accent4"/>
            </a:solidFill>
            <a:ln>
              <a:noFill/>
            </a:ln>
            <a:effectLst/>
          </c:spPr>
          <c:invertIfNegative val="0"/>
          <c:val>
            <c:numRef>
              <c:f>'QT02BM01 Bảng định lượng KNK TH'!$C$9:$N$9</c:f>
              <c:numCache>
                <c:formatCode>_(* #,##0.000_);_(* \(#,##0.000\);_(* "-"??_);_(@_)</c:formatCode>
                <c:ptCount val="12"/>
                <c:pt idx="0">
                  <c:v>0</c:v>
                </c:pt>
                <c:pt idx="1">
                  <c:v>2.75E-2</c:v>
                </c:pt>
                <c:pt idx="2">
                  <c:v>0</c:v>
                </c:pt>
                <c:pt idx="3">
                  <c:v>2.75E-2</c:v>
                </c:pt>
                <c:pt idx="4">
                  <c:v>2.75E-2</c:v>
                </c:pt>
                <c:pt idx="5">
                  <c:v>5.5E-2</c:v>
                </c:pt>
                <c:pt idx="6">
                  <c:v>0</c:v>
                </c:pt>
                <c:pt idx="7">
                  <c:v>8.2500000000000004E-2</c:v>
                </c:pt>
                <c:pt idx="8">
                  <c:v>0</c:v>
                </c:pt>
                <c:pt idx="9">
                  <c:v>5.5E-2</c:v>
                </c:pt>
                <c:pt idx="10">
                  <c:v>0</c:v>
                </c:pt>
                <c:pt idx="11">
                  <c:v>0</c:v>
                </c:pt>
              </c:numCache>
            </c:numRef>
          </c:val>
          <c:extLst>
            <c:ext xmlns:c16="http://schemas.microsoft.com/office/drawing/2014/chart" uri="{C3380CC4-5D6E-409C-BE32-E72D297353CC}">
              <c16:uniqueId val="{00000003-853D-4087-95C5-37DAE654EB0E}"/>
            </c:ext>
          </c:extLst>
        </c:ser>
        <c:ser>
          <c:idx val="4"/>
          <c:order val="4"/>
          <c:tx>
            <c:strRef>
              <c:f>'QT02BM01 Bảng định lượng KNK TH'!$B$10</c:f>
              <c:strCache>
                <c:ptCount val="1"/>
                <c:pt idx="0">
                  <c:v>Xăng máy cắt cỏ</c:v>
                </c:pt>
              </c:strCache>
            </c:strRef>
          </c:tx>
          <c:spPr>
            <a:solidFill>
              <a:schemeClr val="accent5"/>
            </a:solidFill>
            <a:ln>
              <a:noFill/>
            </a:ln>
            <a:effectLst/>
          </c:spPr>
          <c:invertIfNegative val="0"/>
          <c:val>
            <c:numRef>
              <c:f>'QT02BM01 Bảng định lượng KNK TH'!$C$10:$N$10</c:f>
              <c:numCache>
                <c:formatCode>_(* #,##0.000_);_(* \(#,##0.000\);_(* "-"??_);_(@_)</c:formatCode>
                <c:ptCount val="12"/>
                <c:pt idx="0">
                  <c:v>2.2863084695999999E-2</c:v>
                </c:pt>
                <c:pt idx="1">
                  <c:v>0</c:v>
                </c:pt>
                <c:pt idx="2">
                  <c:v>2.2863084695999999E-2</c:v>
                </c:pt>
                <c:pt idx="3">
                  <c:v>2.2863084695999999E-2</c:v>
                </c:pt>
                <c:pt idx="4">
                  <c:v>0</c:v>
                </c:pt>
                <c:pt idx="5">
                  <c:v>2.2863084695999999E-2</c:v>
                </c:pt>
                <c:pt idx="6">
                  <c:v>5.0298786331200003E-2</c:v>
                </c:pt>
                <c:pt idx="7">
                  <c:v>4.5726169391999999E-2</c:v>
                </c:pt>
                <c:pt idx="8">
                  <c:v>4.5726169391999999E-2</c:v>
                </c:pt>
                <c:pt idx="9">
                  <c:v>2.2863084695999999E-2</c:v>
                </c:pt>
                <c:pt idx="10">
                  <c:v>4.5726169391999999E-2</c:v>
                </c:pt>
                <c:pt idx="11">
                  <c:v>4.5726169391999999E-2</c:v>
                </c:pt>
              </c:numCache>
            </c:numRef>
          </c:val>
          <c:extLst>
            <c:ext xmlns:c16="http://schemas.microsoft.com/office/drawing/2014/chart" uri="{C3380CC4-5D6E-409C-BE32-E72D297353CC}">
              <c16:uniqueId val="{00000004-853D-4087-95C5-37DAE654EB0E}"/>
            </c:ext>
          </c:extLst>
        </c:ser>
        <c:ser>
          <c:idx val="5"/>
          <c:order val="5"/>
          <c:tx>
            <c:strRef>
              <c:f>'QT02BM01 Bảng định lượng KNK TH'!$B$11</c:f>
              <c:strCache>
                <c:ptCount val="1"/>
                <c:pt idx="0">
                  <c:v>Dầu hỏa (Kerosene-Oil)</c:v>
                </c:pt>
              </c:strCache>
            </c:strRef>
          </c:tx>
          <c:spPr>
            <a:solidFill>
              <a:schemeClr val="accent6"/>
            </a:solidFill>
            <a:ln>
              <a:noFill/>
            </a:ln>
            <a:effectLst/>
          </c:spPr>
          <c:invertIfNegative val="0"/>
          <c:val>
            <c:numRef>
              <c:f>'QT02BM01 Bảng định lượng KNK TH'!$C$11:$N$11</c:f>
              <c:numCache>
                <c:formatCode>_(* #,##0.000_);_(* \(#,##0.000\);_(* "-"??_);_(@_)</c:formatCode>
                <c:ptCount val="12"/>
                <c:pt idx="0">
                  <c:v>40.262710037760002</c:v>
                </c:pt>
                <c:pt idx="1">
                  <c:v>18.303955232940002</c:v>
                </c:pt>
                <c:pt idx="2">
                  <c:v>34.261249538580003</c:v>
                </c:pt>
                <c:pt idx="3">
                  <c:v>43.890048683895003</c:v>
                </c:pt>
                <c:pt idx="4">
                  <c:v>47.574805629315001</c:v>
                </c:pt>
                <c:pt idx="5">
                  <c:v>33.200259225704997</c:v>
                </c:pt>
                <c:pt idx="6">
                  <c:v>51.554143414545003</c:v>
                </c:pt>
                <c:pt idx="7">
                  <c:v>46.154326833959999</c:v>
                </c:pt>
                <c:pt idx="8">
                  <c:v>42.352236842175003</c:v>
                </c:pt>
                <c:pt idx="9">
                  <c:v>52.899728776049997</c:v>
                </c:pt>
                <c:pt idx="10">
                  <c:v>50.490656653875</c:v>
                </c:pt>
                <c:pt idx="11">
                  <c:v>51.629036848395003</c:v>
                </c:pt>
              </c:numCache>
            </c:numRef>
          </c:val>
          <c:extLst>
            <c:ext xmlns:c16="http://schemas.microsoft.com/office/drawing/2014/chart" uri="{C3380CC4-5D6E-409C-BE32-E72D297353CC}">
              <c16:uniqueId val="{00000005-853D-4087-95C5-37DAE654EB0E}"/>
            </c:ext>
          </c:extLst>
        </c:ser>
        <c:ser>
          <c:idx val="6"/>
          <c:order val="6"/>
          <c:tx>
            <c:strRef>
              <c:f>'QT02BM01 Bảng định lượng KNK TH'!$B$12</c:f>
              <c:strCache>
                <c:ptCount val="1"/>
                <c:pt idx="0">
                  <c:v>Nước thủy tinh (Silicate)</c:v>
                </c:pt>
              </c:strCache>
            </c:strRef>
          </c:tx>
          <c:spPr>
            <a:solidFill>
              <a:schemeClr val="accent1">
                <a:lumMod val="60000"/>
              </a:schemeClr>
            </a:solidFill>
            <a:ln>
              <a:noFill/>
            </a:ln>
            <a:effectLst/>
          </c:spPr>
          <c:invertIfNegative val="0"/>
          <c:val>
            <c:numRef>
              <c:f>'QT02BM01 Bảng định lượng KNK TH'!$C$12:$N$12</c:f>
              <c:numCache>
                <c:formatCode>_(* #,##0.000_);_(* \(#,##0.000\);_(* "-"??_);_(@_)</c:formatCode>
                <c:ptCount val="12"/>
                <c:pt idx="0">
                  <c:v>0.10108</c:v>
                </c:pt>
                <c:pt idx="1">
                  <c:v>0.1444</c:v>
                </c:pt>
                <c:pt idx="2">
                  <c:v>0.1444</c:v>
                </c:pt>
                <c:pt idx="3">
                  <c:v>0.141512</c:v>
                </c:pt>
                <c:pt idx="4">
                  <c:v>0.1444</c:v>
                </c:pt>
                <c:pt idx="5">
                  <c:v>0.1444</c:v>
                </c:pt>
                <c:pt idx="6">
                  <c:v>7.22E-2</c:v>
                </c:pt>
                <c:pt idx="7">
                  <c:v>0</c:v>
                </c:pt>
                <c:pt idx="8">
                  <c:v>2.8879999999999999E-2</c:v>
                </c:pt>
                <c:pt idx="9">
                  <c:v>7.22E-2</c:v>
                </c:pt>
                <c:pt idx="10">
                  <c:v>7.22E-2</c:v>
                </c:pt>
                <c:pt idx="11">
                  <c:v>2.8879999999999999E-2</c:v>
                </c:pt>
              </c:numCache>
            </c:numRef>
          </c:val>
          <c:extLst>
            <c:ext xmlns:c16="http://schemas.microsoft.com/office/drawing/2014/chart" uri="{C3380CC4-5D6E-409C-BE32-E72D297353CC}">
              <c16:uniqueId val="{00000006-853D-4087-95C5-37DAE654EB0E}"/>
            </c:ext>
          </c:extLst>
        </c:ser>
        <c:ser>
          <c:idx val="7"/>
          <c:order val="7"/>
          <c:tx>
            <c:strRef>
              <c:f>'QT02BM01 Bảng định lượng KNK TH'!$B$13</c:f>
              <c:strCache>
                <c:ptCount val="1"/>
                <c:pt idx="0">
                  <c:v>Sơn lõi khuôn (BR-750 và Koalid Paste 94I)</c:v>
                </c:pt>
              </c:strCache>
            </c:strRef>
          </c:tx>
          <c:spPr>
            <a:solidFill>
              <a:schemeClr val="accent2">
                <a:lumMod val="60000"/>
              </a:schemeClr>
            </a:solidFill>
            <a:ln>
              <a:noFill/>
            </a:ln>
            <a:effectLst/>
          </c:spPr>
          <c:invertIfNegative val="0"/>
          <c:val>
            <c:numRef>
              <c:f>'QT02BM01 Bảng định lượng KNK TH'!$C$13:$N$13</c:f>
              <c:numCache>
                <c:formatCode>_(* #,##0.000_);_(* \(#,##0.000\);_(* "-"??_);_(@_)</c:formatCode>
                <c:ptCount val="12"/>
                <c:pt idx="0">
                  <c:v>0.74993849999999995</c:v>
                </c:pt>
                <c:pt idx="1">
                  <c:v>0.58328550000000001</c:v>
                </c:pt>
                <c:pt idx="2">
                  <c:v>1.166571</c:v>
                </c:pt>
                <c:pt idx="3">
                  <c:v>1.4721015</c:v>
                </c:pt>
                <c:pt idx="4">
                  <c:v>1.944285</c:v>
                </c:pt>
                <c:pt idx="5">
                  <c:v>0.50730375000000005</c:v>
                </c:pt>
                <c:pt idx="6">
                  <c:v>0.58486925000000001</c:v>
                </c:pt>
                <c:pt idx="7">
                  <c:v>0.280306</c:v>
                </c:pt>
                <c:pt idx="8">
                  <c:v>0.95950899999999995</c:v>
                </c:pt>
                <c:pt idx="9">
                  <c:v>0.43663049999999998</c:v>
                </c:pt>
                <c:pt idx="10">
                  <c:v>0.52018324999999999</c:v>
                </c:pt>
                <c:pt idx="11">
                  <c:v>0.73580325000000002</c:v>
                </c:pt>
              </c:numCache>
            </c:numRef>
          </c:val>
          <c:extLst>
            <c:ext xmlns:c16="http://schemas.microsoft.com/office/drawing/2014/chart" uri="{C3380CC4-5D6E-409C-BE32-E72D297353CC}">
              <c16:uniqueId val="{00000007-853D-4087-95C5-37DAE654EB0E}"/>
            </c:ext>
          </c:extLst>
        </c:ser>
        <c:ser>
          <c:idx val="8"/>
          <c:order val="8"/>
          <c:tx>
            <c:strRef>
              <c:f>'QT02BM01 Bảng định lượng KNK TH'!#REF!</c:f>
              <c:strCache>
                <c:ptCount val="1"/>
                <c:pt idx="0">
                  <c:v>#REF!</c:v>
                </c:pt>
              </c:strCache>
            </c:strRef>
          </c:tx>
          <c:spPr>
            <a:solidFill>
              <a:schemeClr val="accent3">
                <a:lumMod val="60000"/>
              </a:schemeClr>
            </a:solidFill>
            <a:ln>
              <a:noFill/>
            </a:ln>
            <a:effectLst/>
          </c:spPr>
          <c:invertIfNegative val="0"/>
          <c:val>
            <c:numRef>
              <c:f>'QT02BM01 Bảng định lượng KNK TH'!#REF!</c:f>
              <c:numCache>
                <c:formatCode>General</c:formatCode>
                <c:ptCount val="1"/>
                <c:pt idx="0">
                  <c:v>1</c:v>
                </c:pt>
              </c:numCache>
            </c:numRef>
          </c:val>
          <c:extLst>
            <c:ext xmlns:c16="http://schemas.microsoft.com/office/drawing/2014/chart" uri="{C3380CC4-5D6E-409C-BE32-E72D297353CC}">
              <c16:uniqueId val="{00000008-853D-4087-95C5-37DAE654EB0E}"/>
            </c:ext>
          </c:extLst>
        </c:ser>
        <c:ser>
          <c:idx val="9"/>
          <c:order val="9"/>
          <c:tx>
            <c:strRef>
              <c:f>'QT02BM01 Bảng định lượng KNK TH'!$B$15</c:f>
              <c:strCache>
                <c:ptCount val="1"/>
                <c:pt idx="0">
                  <c:v>CO2 sử dụng cho kết dính thao (core mold)</c:v>
                </c:pt>
              </c:strCache>
            </c:strRef>
          </c:tx>
          <c:spPr>
            <a:solidFill>
              <a:schemeClr val="accent4">
                <a:lumMod val="60000"/>
              </a:schemeClr>
            </a:solidFill>
            <a:ln>
              <a:noFill/>
            </a:ln>
            <a:effectLst/>
          </c:spPr>
          <c:invertIfNegative val="0"/>
          <c:val>
            <c:numRef>
              <c:f>'QT02BM01 Bảng định lượng KNK TH'!$C$15:$N$15</c:f>
              <c:numCache>
                <c:formatCode>_(* #,##0.000_);_(* \(#,##0.000\);_(* "-"??_);_(@_)</c:formatCode>
                <c:ptCount val="12"/>
                <c:pt idx="0">
                  <c:v>9.0697399999999995</c:v>
                </c:pt>
                <c:pt idx="1">
                  <c:v>5.9494999999999996</c:v>
                </c:pt>
                <c:pt idx="2">
                  <c:v>9.3910549999999997</c:v>
                </c:pt>
                <c:pt idx="3">
                  <c:v>7.6906480000000004</c:v>
                </c:pt>
                <c:pt idx="4">
                  <c:v>18.46697</c:v>
                </c:pt>
                <c:pt idx="5">
                  <c:v>11.663779999999999</c:v>
                </c:pt>
                <c:pt idx="6">
                  <c:v>7.9198000000000004</c:v>
                </c:pt>
                <c:pt idx="7">
                  <c:v>9.3406500000000001</c:v>
                </c:pt>
                <c:pt idx="8">
                  <c:v>15.105969999999999</c:v>
                </c:pt>
                <c:pt idx="9">
                  <c:v>7.9447749999999999</c:v>
                </c:pt>
                <c:pt idx="10">
                  <c:v>8.0446749999999998</c:v>
                </c:pt>
                <c:pt idx="11">
                  <c:v>7.6634200000000003</c:v>
                </c:pt>
              </c:numCache>
            </c:numRef>
          </c:val>
          <c:extLst>
            <c:ext xmlns:c16="http://schemas.microsoft.com/office/drawing/2014/chart" uri="{C3380CC4-5D6E-409C-BE32-E72D297353CC}">
              <c16:uniqueId val="{00000009-853D-4087-95C5-37DAE654EB0E}"/>
            </c:ext>
          </c:extLst>
        </c:ser>
        <c:ser>
          <c:idx val="10"/>
          <c:order val="10"/>
          <c:tx>
            <c:strRef>
              <c:f>'QT02BM01 Bảng định lượng KNK TH'!$B$17</c:f>
              <c:strCache>
                <c:ptCount val="1"/>
                <c:pt idx="0">
                  <c:v>DO dùng cho xe nâng</c:v>
                </c:pt>
              </c:strCache>
            </c:strRef>
          </c:tx>
          <c:spPr>
            <a:solidFill>
              <a:schemeClr val="accent5">
                <a:lumMod val="60000"/>
              </a:schemeClr>
            </a:solidFill>
            <a:ln>
              <a:noFill/>
            </a:ln>
            <a:effectLst/>
          </c:spPr>
          <c:invertIfNegative val="0"/>
          <c:val>
            <c:numRef>
              <c:f>'QT02BM01 Bảng định lượng KNK TH'!$C$17:$N$17</c:f>
              <c:numCache>
                <c:formatCode>_(* #,##0.000_);_(* \(#,##0.000\);_(* "-"??_);_(@_)</c:formatCode>
                <c:ptCount val="12"/>
                <c:pt idx="0">
                  <c:v>4.3433063110332002</c:v>
                </c:pt>
                <c:pt idx="1">
                  <c:v>2.4856984958777999</c:v>
                </c:pt>
                <c:pt idx="2">
                  <c:v>4.0411117382328001</c:v>
                </c:pt>
                <c:pt idx="3">
                  <c:v>3.7122529384205998</c:v>
                </c:pt>
                <c:pt idx="4">
                  <c:v>3.9877832842092</c:v>
                </c:pt>
                <c:pt idx="5">
                  <c:v>3.8218725383579999</c:v>
                </c:pt>
                <c:pt idx="6">
                  <c:v>4.2247986354252003</c:v>
                </c:pt>
                <c:pt idx="7">
                  <c:v>5.2765542564462002</c:v>
                </c:pt>
                <c:pt idx="8">
                  <c:v>4.1270298030486003</c:v>
                </c:pt>
                <c:pt idx="9">
                  <c:v>2.6901242363016</c:v>
                </c:pt>
                <c:pt idx="10">
                  <c:v>3.2145207008669998</c:v>
                </c:pt>
                <c:pt idx="11">
                  <c:v>3.5907825709223999</c:v>
                </c:pt>
              </c:numCache>
            </c:numRef>
          </c:val>
          <c:extLst>
            <c:ext xmlns:c16="http://schemas.microsoft.com/office/drawing/2014/chart" uri="{C3380CC4-5D6E-409C-BE32-E72D297353CC}">
              <c16:uniqueId val="{0000000A-853D-4087-95C5-37DAE654EB0E}"/>
            </c:ext>
          </c:extLst>
        </c:ser>
        <c:ser>
          <c:idx val="11"/>
          <c:order val="11"/>
          <c:tx>
            <c:strRef>
              <c:f>'QT02BM01 Bảng định lượng KNK TH'!$B$18</c:f>
              <c:strCache>
                <c:ptCount val="1"/>
                <c:pt idx="0">
                  <c:v>DO dùng cho xe tải và xe car chở CBCNV</c:v>
                </c:pt>
              </c:strCache>
            </c:strRef>
          </c:tx>
          <c:spPr>
            <a:solidFill>
              <a:schemeClr val="accent6">
                <a:lumMod val="60000"/>
              </a:schemeClr>
            </a:solidFill>
            <a:ln>
              <a:noFill/>
            </a:ln>
            <a:effectLst/>
          </c:spPr>
          <c:invertIfNegative val="0"/>
          <c:val>
            <c:numRef>
              <c:f>'QT02BM01 Bảng định lượng KNK TH'!$C$18:$N$18</c:f>
              <c:numCache>
                <c:formatCode>_(* #,##0.000_);_(* \(#,##0.000\);_(* "-"??_);_(@_)</c:formatCode>
                <c:ptCount val="12"/>
                <c:pt idx="0">
                  <c:v>22.436191003262401</c:v>
                </c:pt>
                <c:pt idx="1">
                  <c:v>12.172422094232397</c:v>
                </c:pt>
                <c:pt idx="2">
                  <c:v>18.254554822576804</c:v>
                </c:pt>
                <c:pt idx="3">
                  <c:v>19.034873147581198</c:v>
                </c:pt>
                <c:pt idx="4">
                  <c:v>20.6199797102208</c:v>
                </c:pt>
                <c:pt idx="5">
                  <c:v>15.9815718270936</c:v>
                </c:pt>
                <c:pt idx="6">
                  <c:v>21.623246128083601</c:v>
                </c:pt>
                <c:pt idx="7">
                  <c:v>20.108830424155201</c:v>
                </c:pt>
                <c:pt idx="8">
                  <c:v>16.405716979360797</c:v>
                </c:pt>
                <c:pt idx="9">
                  <c:v>24.3312497925588</c:v>
                </c:pt>
                <c:pt idx="10">
                  <c:v>22.36278126537</c:v>
                </c:pt>
                <c:pt idx="11">
                  <c:v>24.070237391163598</c:v>
                </c:pt>
              </c:numCache>
            </c:numRef>
          </c:val>
          <c:extLst>
            <c:ext xmlns:c16="http://schemas.microsoft.com/office/drawing/2014/chart" uri="{C3380CC4-5D6E-409C-BE32-E72D297353CC}">
              <c16:uniqueId val="{0000000B-853D-4087-95C5-37DAE654EB0E}"/>
            </c:ext>
          </c:extLst>
        </c:ser>
        <c:ser>
          <c:idx val="12"/>
          <c:order val="12"/>
          <c:tx>
            <c:strRef>
              <c:f>'QT02BM01 Bảng định lượng KNK TH'!$B$19</c:f>
              <c:strCache>
                <c:ptCount val="1"/>
                <c:pt idx="0">
                  <c:v>Xăng dùng cho xe 7 chỗ</c:v>
                </c:pt>
              </c:strCache>
            </c:strRef>
          </c:tx>
          <c:spPr>
            <a:solidFill>
              <a:schemeClr val="accent1">
                <a:lumMod val="80000"/>
                <a:lumOff val="20000"/>
              </a:schemeClr>
            </a:solidFill>
            <a:ln>
              <a:noFill/>
            </a:ln>
            <a:effectLst/>
          </c:spPr>
          <c:invertIfNegative val="0"/>
          <c:val>
            <c:numRef>
              <c:f>'QT02BM01 Bảng định lượng KNK TH'!$C$19:$N$19</c:f>
              <c:numCache>
                <c:formatCode>_(* #,##0.000_);_(* \(#,##0.000\);_(* "-"??_);_(@_)</c:formatCode>
                <c:ptCount val="12"/>
                <c:pt idx="0">
                  <c:v>0.67026109119833399</c:v>
                </c:pt>
                <c:pt idx="1">
                  <c:v>0.67096027520111401</c:v>
                </c:pt>
                <c:pt idx="2">
                  <c:v>0.94930542670783202</c:v>
                </c:pt>
                <c:pt idx="3">
                  <c:v>0.87316428880509001</c:v>
                </c:pt>
                <c:pt idx="4">
                  <c:v>1.0759276496112899</c:v>
                </c:pt>
                <c:pt idx="5">
                  <c:v>1.03761236625895</c:v>
                </c:pt>
                <c:pt idx="6">
                  <c:v>0.98349552444377397</c:v>
                </c:pt>
                <c:pt idx="7">
                  <c:v>0.84724786843537803</c:v>
                </c:pt>
                <c:pt idx="8">
                  <c:v>0.80401499093014805</c:v>
                </c:pt>
                <c:pt idx="9">
                  <c:v>1.19005778499841</c:v>
                </c:pt>
                <c:pt idx="10">
                  <c:v>1.4512030100367399</c:v>
                </c:pt>
                <c:pt idx="11">
                  <c:v>1.3079402078671201</c:v>
                </c:pt>
              </c:numCache>
            </c:numRef>
          </c:val>
          <c:extLst>
            <c:ext xmlns:c16="http://schemas.microsoft.com/office/drawing/2014/chart" uri="{C3380CC4-5D6E-409C-BE32-E72D297353CC}">
              <c16:uniqueId val="{0000000C-853D-4087-95C5-37DAE654EB0E}"/>
            </c:ext>
          </c:extLst>
        </c:ser>
        <c:ser>
          <c:idx val="13"/>
          <c:order val="13"/>
          <c:tx>
            <c:strRef>
              <c:f>'QT02BM01 Bảng định lượng KNK TH'!$B$21</c:f>
              <c:strCache>
                <c:ptCount val="1"/>
                <c:pt idx="0">
                  <c:v>CO2 sử dụng cho bình cứu hỏa, diễn tập PCCC</c:v>
                </c:pt>
              </c:strCache>
            </c:strRef>
          </c:tx>
          <c:spPr>
            <a:solidFill>
              <a:schemeClr val="accent2">
                <a:lumMod val="80000"/>
                <a:lumOff val="20000"/>
              </a:schemeClr>
            </a:solidFill>
            <a:ln>
              <a:noFill/>
            </a:ln>
            <a:effectLst/>
          </c:spPr>
          <c:invertIfNegative val="0"/>
          <c:val>
            <c:numRef>
              <c:f>'QT02BM01 Bảng định lượng KNK TH'!$C$21:$N$21</c:f>
              <c:numCache>
                <c:formatCode>_(* #,##0.0000_);_(* \(#,##0.0000\);_(* "-"??_);_(@_)</c:formatCode>
                <c:ptCount val="12"/>
                <c:pt idx="0">
                  <c:v>6.1666666666666695E-4</c:v>
                </c:pt>
                <c:pt idx="1">
                  <c:v>6.1666666666666695E-4</c:v>
                </c:pt>
                <c:pt idx="2">
                  <c:v>6.1666666666666695E-4</c:v>
                </c:pt>
                <c:pt idx="3">
                  <c:v>6.1666666666666695E-4</c:v>
                </c:pt>
                <c:pt idx="4">
                  <c:v>6.1666666666666695E-4</c:v>
                </c:pt>
                <c:pt idx="5">
                  <c:v>6.1666666666666695E-4</c:v>
                </c:pt>
                <c:pt idx="6">
                  <c:v>6.1666666666666695E-4</c:v>
                </c:pt>
                <c:pt idx="7">
                  <c:v>6.1666666666666695E-4</c:v>
                </c:pt>
                <c:pt idx="8">
                  <c:v>6.1666666666666695E-4</c:v>
                </c:pt>
                <c:pt idx="9">
                  <c:v>6.1666666666666695E-4</c:v>
                </c:pt>
                <c:pt idx="10">
                  <c:v>6.1666666666666695E-4</c:v>
                </c:pt>
                <c:pt idx="11">
                  <c:v>6.1666666666666695E-4</c:v>
                </c:pt>
              </c:numCache>
            </c:numRef>
          </c:val>
          <c:extLst>
            <c:ext xmlns:c16="http://schemas.microsoft.com/office/drawing/2014/chart" uri="{C3380CC4-5D6E-409C-BE32-E72D297353CC}">
              <c16:uniqueId val="{0000000D-853D-4087-95C5-37DAE654EB0E}"/>
            </c:ext>
          </c:extLst>
        </c:ser>
        <c:ser>
          <c:idx val="14"/>
          <c:order val="14"/>
          <c:tx>
            <c:strRef>
              <c:f>'QT02BM01 Bảng định lượng KNK TH'!$B$22</c:f>
              <c:strCache>
                <c:ptCount val="1"/>
                <c:pt idx="0">
                  <c:v>Môi chất lạnh</c:v>
                </c:pt>
              </c:strCache>
            </c:strRef>
          </c:tx>
          <c:spPr>
            <a:solidFill>
              <a:schemeClr val="accent3">
                <a:lumMod val="80000"/>
                <a:lumOff val="20000"/>
              </a:schemeClr>
            </a:solidFill>
            <a:ln>
              <a:noFill/>
            </a:ln>
            <a:effectLst/>
          </c:spPr>
          <c:invertIfNegative val="0"/>
          <c:val>
            <c:numRef>
              <c:f>'QT02BM01 Bảng định lượng KNK TH'!$C$22:$N$22</c:f>
              <c:numCache>
                <c:formatCode>#,##0.000_);\(#,##0.000\)</c:formatCode>
                <c:ptCount val="12"/>
                <c:pt idx="0">
                  <c:v>12.593820000000001</c:v>
                </c:pt>
              </c:numCache>
            </c:numRef>
          </c:val>
          <c:extLst>
            <c:ext xmlns:c16="http://schemas.microsoft.com/office/drawing/2014/chart" uri="{C3380CC4-5D6E-409C-BE32-E72D297353CC}">
              <c16:uniqueId val="{0000000E-853D-4087-95C5-37DAE654EB0E}"/>
            </c:ext>
          </c:extLst>
        </c:ser>
        <c:ser>
          <c:idx val="15"/>
          <c:order val="15"/>
          <c:tx>
            <c:strRef>
              <c:f>'QT02BM01 Bảng định lượng KNK TH'!$B$23</c:f>
              <c:strCache>
                <c:ptCount val="1"/>
                <c:pt idx="0">
                  <c:v>Xử lý nước thải tập trung</c:v>
                </c:pt>
              </c:strCache>
            </c:strRef>
          </c:tx>
          <c:spPr>
            <a:solidFill>
              <a:schemeClr val="accent4">
                <a:lumMod val="80000"/>
                <a:lumOff val="20000"/>
              </a:schemeClr>
            </a:solidFill>
            <a:ln>
              <a:noFill/>
            </a:ln>
            <a:effectLst/>
          </c:spPr>
          <c:invertIfNegative val="0"/>
          <c:val>
            <c:numRef>
              <c:f>'QT02BM01 Bảng định lượng KNK TH'!$C$23:$N$23</c:f>
              <c:numCache>
                <c:formatCode>_(* #,##0.000_);_(* \(#,##0.000\);_(* "-"??_);_(@_)</c:formatCode>
                <c:ptCount val="12"/>
                <c:pt idx="0">
                  <c:v>2.1661841089506</c:v>
                </c:pt>
                <c:pt idx="1">
                  <c:v>1.36795167956828</c:v>
                </c:pt>
                <c:pt idx="2">
                  <c:v>2.07999638234479</c:v>
                </c:pt>
                <c:pt idx="3">
                  <c:v>1.9721318189004899</c:v>
                </c:pt>
                <c:pt idx="4">
                  <c:v>2.3384829482103702</c:v>
                </c:pt>
                <c:pt idx="5">
                  <c:v>1.95719626261826</c:v>
                </c:pt>
                <c:pt idx="6">
                  <c:v>2.6540654392368599</c:v>
                </c:pt>
                <c:pt idx="7">
                  <c:v>2.5624173215149399</c:v>
                </c:pt>
                <c:pt idx="8">
                  <c:v>2.21377761427701</c:v>
                </c:pt>
                <c:pt idx="9">
                  <c:v>2.4905291755619099</c:v>
                </c:pt>
                <c:pt idx="10">
                  <c:v>2.3781237849867498</c:v>
                </c:pt>
                <c:pt idx="11">
                  <c:v>2.4237039856867799</c:v>
                </c:pt>
              </c:numCache>
            </c:numRef>
          </c:val>
          <c:extLst>
            <c:ext xmlns:c16="http://schemas.microsoft.com/office/drawing/2014/chart" uri="{C3380CC4-5D6E-409C-BE32-E72D297353CC}">
              <c16:uniqueId val="{0000000F-853D-4087-95C5-37DAE654EB0E}"/>
            </c:ext>
          </c:extLst>
        </c:ser>
        <c:ser>
          <c:idx val="16"/>
          <c:order val="16"/>
          <c:tx>
            <c:strRef>
              <c:f>'QT02BM01 Bảng định lượng KNK TH'!$B$24</c:f>
              <c:strCache>
                <c:ptCount val="1"/>
                <c:pt idx="0">
                  <c:v>Số lượng phân bón sử dụng cho cây</c:v>
                </c:pt>
              </c:strCache>
            </c:strRef>
          </c:tx>
          <c:spPr>
            <a:solidFill>
              <a:schemeClr val="accent5">
                <a:lumMod val="80000"/>
                <a:lumOff val="20000"/>
              </a:schemeClr>
            </a:solidFill>
            <a:ln>
              <a:noFill/>
            </a:ln>
            <a:effectLst/>
          </c:spPr>
          <c:invertIfNegative val="0"/>
          <c:val>
            <c:numRef>
              <c:f>'QT02BM01 Bảng định lượng KNK TH'!$C$24:$N$24</c:f>
              <c:numCache>
                <c:formatCode>_(* #,##0.000_);_(* \(#,##0.000\);_(* "-"??_);_(@_)</c:formatCode>
                <c:ptCount val="12"/>
                <c:pt idx="6">
                  <c:v>5.577E-2</c:v>
                </c:pt>
              </c:numCache>
            </c:numRef>
          </c:val>
          <c:extLst>
            <c:ext xmlns:c16="http://schemas.microsoft.com/office/drawing/2014/chart" uri="{C3380CC4-5D6E-409C-BE32-E72D297353CC}">
              <c16:uniqueId val="{00000010-853D-4087-95C5-37DAE654EB0E}"/>
            </c:ext>
          </c:extLst>
        </c:ser>
        <c:ser>
          <c:idx val="17"/>
          <c:order val="17"/>
          <c:tx>
            <c:strRef>
              <c:f>'QT02BM01 Bảng định lượng KNK TH'!$B$26</c:f>
              <c:strCache>
                <c:ptCount val="1"/>
                <c:pt idx="0">
                  <c:v>Điện năng mua từ lưới điện EVN</c:v>
                </c:pt>
              </c:strCache>
            </c:strRef>
          </c:tx>
          <c:spPr>
            <a:solidFill>
              <a:schemeClr val="accent6">
                <a:lumMod val="80000"/>
                <a:lumOff val="20000"/>
              </a:schemeClr>
            </a:solidFill>
            <a:ln>
              <a:noFill/>
            </a:ln>
            <a:effectLst/>
          </c:spPr>
          <c:invertIfNegative val="0"/>
          <c:val>
            <c:numRef>
              <c:f>'QT02BM01 Bảng định lượng KNK TH'!$C$26:$N$26</c:f>
              <c:numCache>
                <c:formatCode>_(* #,##0.000_);_(* \(#,##0.000\);_(* "-"??_);_(@_)</c:formatCode>
                <c:ptCount val="12"/>
                <c:pt idx="0">
                  <c:v>1200.7136832000001</c:v>
                </c:pt>
                <c:pt idx="1">
                  <c:v>699.13275392000003</c:v>
                </c:pt>
                <c:pt idx="2">
                  <c:v>1253.1777114106101</c:v>
                </c:pt>
                <c:pt idx="3">
                  <c:v>1229.17813045501</c:v>
                </c:pt>
                <c:pt idx="4">
                  <c:v>1343.1964274291499</c:v>
                </c:pt>
                <c:pt idx="5">
                  <c:v>1212.8833825700899</c:v>
                </c:pt>
                <c:pt idx="6">
                  <c:v>1428.5760511999999</c:v>
                </c:pt>
                <c:pt idx="7">
                  <c:v>1586.8328320000001</c:v>
                </c:pt>
                <c:pt idx="8">
                  <c:v>1326.5351872000001</c:v>
                </c:pt>
                <c:pt idx="9">
                  <c:v>1518.3663423999999</c:v>
                </c:pt>
                <c:pt idx="10">
                  <c:v>1485.4280960000001</c:v>
                </c:pt>
                <c:pt idx="11">
                  <c:v>1495.4789184000001</c:v>
                </c:pt>
              </c:numCache>
            </c:numRef>
          </c:val>
          <c:extLst>
            <c:ext xmlns:c16="http://schemas.microsoft.com/office/drawing/2014/chart" uri="{C3380CC4-5D6E-409C-BE32-E72D297353CC}">
              <c16:uniqueId val="{00000011-853D-4087-95C5-37DAE654EB0E}"/>
            </c:ext>
          </c:extLst>
        </c:ser>
        <c:dLbls>
          <c:showLegendKey val="0"/>
          <c:showVal val="0"/>
          <c:showCatName val="0"/>
          <c:showSerName val="0"/>
          <c:showPercent val="0"/>
          <c:showBubbleSize val="0"/>
        </c:dLbls>
        <c:gapWidth val="219"/>
        <c:overlap val="-27"/>
        <c:axId val="220250184"/>
        <c:axId val="220250568"/>
      </c:barChart>
      <c:catAx>
        <c:axId val="220250184"/>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20250568"/>
        <c:crosses val="autoZero"/>
        <c:auto val="1"/>
        <c:lblAlgn val="ctr"/>
        <c:lblOffset val="100"/>
        <c:noMultiLvlLbl val="0"/>
      </c:catAx>
      <c:valAx>
        <c:axId val="220250568"/>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0.000_);_(* \(#,##0.000\);_(* &quot;-&quot;??_);_(@_)"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20250184"/>
        <c:crosses val="autoZero"/>
        <c:crossBetween val="between"/>
      </c:valAx>
      <c:spPr>
        <a:noFill/>
        <a:ln>
          <a:noFill/>
        </a:ln>
        <a:effectLst/>
      </c:spPr>
    </c:plotArea>
    <c:plotVisOnly val="1"/>
    <c:dispBlanksAs val="gap"/>
    <c:showDLblsOverMax val="0"/>
    <c:extLst>
      <c:ext uri="{0b15fc19-7d7d-44ad-8c2d-2c3a37ce22c3}">
        <chartProps xmlns="https://web.wps.cn/et/2018/main" chartId="{b23ea0e9-0655-480e-a3c2-5d89887077b7}"/>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2000" b="1" i="0" u="none" strike="noStrike" kern="1200" spc="0" baseline="0">
                <a:solidFill>
                  <a:schemeClr val="tx1">
                    <a:lumMod val="65000"/>
                    <a:lumOff val="35000"/>
                  </a:schemeClr>
                </a:solidFill>
                <a:latin typeface="+mn-lt"/>
                <a:ea typeface="+mn-ea"/>
                <a:cs typeface="+mn-cs"/>
              </a:defRPr>
            </a:pPr>
            <a:r>
              <a:rPr lang="vi-VN" sz="2000" b="1"/>
              <a:t>B</a:t>
            </a:r>
            <a:r>
              <a:rPr lang="en-US" sz="2000" b="1"/>
              <a:t>iểu</a:t>
            </a:r>
            <a:r>
              <a:rPr lang="en-US" sz="2000" b="1" baseline="0"/>
              <a:t> đồ</a:t>
            </a:r>
            <a:r>
              <a:rPr lang="vi-VN" sz="2000" b="1"/>
              <a:t> định lượng khí nhà kính theo tỷ lệ</a:t>
            </a:r>
          </a:p>
        </c:rich>
      </c:tx>
      <c:layout>
        <c:manualLayout>
          <c:xMode val="edge"/>
          <c:yMode val="edge"/>
          <c:x val="0.27780973994297697"/>
          <c:y val="3.1598715074902903E-2"/>
        </c:manualLayout>
      </c:layout>
      <c:overlay val="0"/>
      <c:spPr>
        <a:noFill/>
        <a:ln>
          <a:noFill/>
        </a:ln>
        <a:effectLst/>
      </c:sp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3862254312316903E-2"/>
          <c:y val="0.33032810605225399"/>
          <c:w val="0.96613774568768296"/>
          <c:h val="0.51684320606572798"/>
        </c:manualLayout>
      </c:layout>
      <c:pie3DChart>
        <c:varyColors val="1"/>
        <c:ser>
          <c:idx val="0"/>
          <c:order val="0"/>
          <c:tx>
            <c:v>Bảng định lượng khí nhà kính theo tỷ lệ</c:v>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2ECD-40DB-8D0C-B444F4DCC828}"/>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2ECD-40DB-8D0C-B444F4DCC828}"/>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2ECD-40DB-8D0C-B444F4DCC828}"/>
              </c:ext>
            </c:extLst>
          </c:dPt>
          <c:dPt>
            <c:idx val="3"/>
            <c:bubble3D val="0"/>
            <c:spPr>
              <a:solidFill>
                <a:schemeClr val="accent4"/>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7-2ECD-40DB-8D0C-B444F4DCC828}"/>
              </c:ext>
            </c:extLst>
          </c:dPt>
          <c:dPt>
            <c:idx val="4"/>
            <c:bubble3D val="0"/>
            <c:spPr>
              <a:solidFill>
                <a:schemeClr val="accent5"/>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9-2ECD-40DB-8D0C-B444F4DCC828}"/>
              </c:ext>
            </c:extLst>
          </c:dPt>
          <c:dPt>
            <c:idx val="5"/>
            <c:bubble3D val="0"/>
            <c:spPr>
              <a:solidFill>
                <a:schemeClr val="accent6"/>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B-2ECD-40DB-8D0C-B444F4DCC828}"/>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D-2ECD-40DB-8D0C-B444F4DCC828}"/>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F-2ECD-40DB-8D0C-B444F4DCC828}"/>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1-2ECD-40DB-8D0C-B444F4DCC828}"/>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3-2ECD-40DB-8D0C-B444F4DCC828}"/>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5-2ECD-40DB-8D0C-B444F4DCC828}"/>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7-2ECD-40DB-8D0C-B444F4DCC828}"/>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9-2ECD-40DB-8D0C-B444F4DCC828}"/>
              </c:ext>
            </c:extLst>
          </c:dPt>
          <c:dPt>
            <c:idx val="13"/>
            <c:bubble3D val="0"/>
            <c:spPr>
              <a:solidFill>
                <a:schemeClr val="accent2">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B-2ECD-40DB-8D0C-B444F4DCC828}"/>
              </c:ext>
            </c:extLst>
          </c:dPt>
          <c:dPt>
            <c:idx val="14"/>
            <c:bubble3D val="0"/>
            <c:spPr>
              <a:solidFill>
                <a:schemeClr val="accent3">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D-2ECD-40DB-8D0C-B444F4DCC828}"/>
              </c:ext>
            </c:extLst>
          </c:dPt>
          <c:dPt>
            <c:idx val="15"/>
            <c:bubble3D val="0"/>
            <c:spPr>
              <a:solidFill>
                <a:schemeClr val="accent4">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1F-2ECD-40DB-8D0C-B444F4DCC828}"/>
              </c:ext>
            </c:extLst>
          </c:dPt>
          <c:dPt>
            <c:idx val="16"/>
            <c:bubble3D val="0"/>
            <c:spPr>
              <a:solidFill>
                <a:schemeClr val="accent5">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1-2ECD-40DB-8D0C-B444F4DCC828}"/>
              </c:ext>
            </c:extLst>
          </c:dPt>
          <c:dPt>
            <c:idx val="17"/>
            <c:bubble3D val="0"/>
            <c:spPr>
              <a:solidFill>
                <a:schemeClr val="accent6">
                  <a:lumMod val="80000"/>
                  <a:lumOff val="2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3-2ECD-40DB-8D0C-B444F4DCC828}"/>
              </c:ext>
            </c:extLst>
          </c:dPt>
          <c:dPt>
            <c:idx val="18"/>
            <c:bubble3D val="0"/>
            <c:spPr>
              <a:solidFill>
                <a:schemeClr val="accent1">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5-2ECD-40DB-8D0C-B444F4DCC828}"/>
              </c:ext>
            </c:extLst>
          </c:dPt>
          <c:dPt>
            <c:idx val="19"/>
            <c:bubble3D val="0"/>
            <c:spPr>
              <a:solidFill>
                <a:schemeClr val="accent2">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7-2ECD-40DB-8D0C-B444F4DCC828}"/>
              </c:ext>
            </c:extLst>
          </c:dPt>
          <c:dPt>
            <c:idx val="20"/>
            <c:bubble3D val="0"/>
            <c:spPr>
              <a:solidFill>
                <a:schemeClr val="accent3">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9-2ECD-40DB-8D0C-B444F4DCC828}"/>
              </c:ext>
            </c:extLst>
          </c:dPt>
          <c:dPt>
            <c:idx val="21"/>
            <c:bubble3D val="0"/>
            <c:spPr>
              <a:solidFill>
                <a:schemeClr val="accent4">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B-2ECD-40DB-8D0C-B444F4DCC828}"/>
              </c:ext>
            </c:extLst>
          </c:dPt>
          <c:dPt>
            <c:idx val="22"/>
            <c:bubble3D val="0"/>
            <c:spPr>
              <a:solidFill>
                <a:schemeClr val="accent5">
                  <a:lumMod val="80000"/>
                </a:schemeClr>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2D-2ECD-40DB-8D0C-B444F4DCC828}"/>
              </c:ext>
            </c:extLst>
          </c:dPt>
          <c:dLbls>
            <c:dLbl>
              <c:idx val="0"/>
              <c:delete val="1"/>
              <c:extLst>
                <c:ext xmlns:c15="http://schemas.microsoft.com/office/drawing/2012/chart" uri="{CE6537A1-D6FC-4f65-9D91-7224C49458BB}"/>
                <c:ext xmlns:c16="http://schemas.microsoft.com/office/drawing/2014/chart" uri="{C3380CC4-5D6E-409C-BE32-E72D297353CC}">
                  <c16:uniqueId val="{00000001-2ECD-40DB-8D0C-B444F4DCC828}"/>
                </c:ext>
              </c:extLst>
            </c:dLbl>
            <c:dLbl>
              <c:idx val="1"/>
              <c:delete val="1"/>
              <c:extLst>
                <c:ext xmlns:c15="http://schemas.microsoft.com/office/drawing/2012/chart" uri="{CE6537A1-D6FC-4f65-9D91-7224C49458BB}"/>
                <c:ext xmlns:c16="http://schemas.microsoft.com/office/drawing/2014/chart" uri="{C3380CC4-5D6E-409C-BE32-E72D297353CC}">
                  <c16:uniqueId val="{00000003-2ECD-40DB-8D0C-B444F4DCC828}"/>
                </c:ext>
              </c:extLst>
            </c:dLbl>
            <c:dLbl>
              <c:idx val="2"/>
              <c:delete val="1"/>
              <c:extLst>
                <c:ext xmlns:c15="http://schemas.microsoft.com/office/drawing/2012/chart" uri="{CE6537A1-D6FC-4f65-9D91-7224C49458BB}"/>
                <c:ext xmlns:c16="http://schemas.microsoft.com/office/drawing/2014/chart" uri="{C3380CC4-5D6E-409C-BE32-E72D297353CC}">
                  <c16:uniqueId val="{00000005-2ECD-40DB-8D0C-B444F4DCC828}"/>
                </c:ext>
              </c:extLst>
            </c:dLbl>
            <c:dLbl>
              <c:idx val="3"/>
              <c:delete val="1"/>
              <c:extLst>
                <c:ext xmlns:c15="http://schemas.microsoft.com/office/drawing/2012/chart" uri="{CE6537A1-D6FC-4f65-9D91-7224C49458BB}"/>
                <c:ext xmlns:c16="http://schemas.microsoft.com/office/drawing/2014/chart" uri="{C3380CC4-5D6E-409C-BE32-E72D297353CC}">
                  <c16:uniqueId val="{00000007-2ECD-40DB-8D0C-B444F4DCC828}"/>
                </c:ext>
              </c:extLst>
            </c:dLbl>
            <c:dLbl>
              <c:idx val="4"/>
              <c:delete val="1"/>
              <c:extLst>
                <c:ext xmlns:c15="http://schemas.microsoft.com/office/drawing/2012/chart" uri="{CE6537A1-D6FC-4f65-9D91-7224C49458BB}"/>
                <c:ext xmlns:c16="http://schemas.microsoft.com/office/drawing/2014/chart" uri="{C3380CC4-5D6E-409C-BE32-E72D297353CC}">
                  <c16:uniqueId val="{00000009-2ECD-40DB-8D0C-B444F4DCC828}"/>
                </c:ext>
              </c:extLst>
            </c:dLbl>
            <c:dLbl>
              <c:idx val="5"/>
              <c:delete val="1"/>
              <c:extLst>
                <c:ext xmlns:c15="http://schemas.microsoft.com/office/drawing/2012/chart" uri="{CE6537A1-D6FC-4f65-9D91-7224C49458BB}"/>
                <c:ext xmlns:c16="http://schemas.microsoft.com/office/drawing/2014/chart" uri="{C3380CC4-5D6E-409C-BE32-E72D297353CC}">
                  <c16:uniqueId val="{0000000B-2ECD-40DB-8D0C-B444F4DCC828}"/>
                </c:ext>
              </c:extLst>
            </c:dLbl>
            <c:dLbl>
              <c:idx val="6"/>
              <c:delete val="1"/>
              <c:extLst>
                <c:ext xmlns:c15="http://schemas.microsoft.com/office/drawing/2012/chart" uri="{CE6537A1-D6FC-4f65-9D91-7224C49458BB}"/>
                <c:ext xmlns:c16="http://schemas.microsoft.com/office/drawing/2014/chart" uri="{C3380CC4-5D6E-409C-BE32-E72D297353CC}">
                  <c16:uniqueId val="{0000000D-2ECD-40DB-8D0C-B444F4DCC828}"/>
                </c:ext>
              </c:extLst>
            </c:dLbl>
            <c:dLbl>
              <c:idx val="7"/>
              <c:delete val="1"/>
              <c:extLst>
                <c:ext xmlns:c15="http://schemas.microsoft.com/office/drawing/2012/chart" uri="{CE6537A1-D6FC-4f65-9D91-7224C49458BB}"/>
                <c:ext xmlns:c16="http://schemas.microsoft.com/office/drawing/2014/chart" uri="{C3380CC4-5D6E-409C-BE32-E72D297353CC}">
                  <c16:uniqueId val="{0000000F-2ECD-40DB-8D0C-B444F4DCC828}"/>
                </c:ext>
              </c:extLst>
            </c:dLbl>
            <c:dLbl>
              <c:idx val="8"/>
              <c:delete val="1"/>
              <c:extLst>
                <c:ext xmlns:c15="http://schemas.microsoft.com/office/drawing/2012/chart" uri="{CE6537A1-D6FC-4f65-9D91-7224C49458BB}"/>
                <c:ext xmlns:c16="http://schemas.microsoft.com/office/drawing/2014/chart" uri="{C3380CC4-5D6E-409C-BE32-E72D297353CC}">
                  <c16:uniqueId val="{00000011-2ECD-40DB-8D0C-B444F4DCC828}"/>
                </c:ext>
              </c:extLst>
            </c:dLbl>
            <c:dLbl>
              <c:idx val="9"/>
              <c:delete val="1"/>
              <c:extLst>
                <c:ext xmlns:c15="http://schemas.microsoft.com/office/drawing/2012/chart" uri="{CE6537A1-D6FC-4f65-9D91-7224C49458BB}"/>
                <c:ext xmlns:c16="http://schemas.microsoft.com/office/drawing/2014/chart" uri="{C3380CC4-5D6E-409C-BE32-E72D297353CC}">
                  <c16:uniqueId val="{00000013-2ECD-40DB-8D0C-B444F4DCC828}"/>
                </c:ext>
              </c:extLst>
            </c:dLbl>
            <c:dLbl>
              <c:idx val="10"/>
              <c:delete val="1"/>
              <c:extLst>
                <c:ext xmlns:c15="http://schemas.microsoft.com/office/drawing/2012/chart" uri="{CE6537A1-D6FC-4f65-9D91-7224C49458BB}"/>
                <c:ext xmlns:c16="http://schemas.microsoft.com/office/drawing/2014/chart" uri="{C3380CC4-5D6E-409C-BE32-E72D297353CC}">
                  <c16:uniqueId val="{00000015-2ECD-40DB-8D0C-B444F4DCC828}"/>
                </c:ext>
              </c:extLst>
            </c:dLbl>
            <c:dLbl>
              <c:idx val="11"/>
              <c:delete val="1"/>
              <c:extLst>
                <c:ext xmlns:c15="http://schemas.microsoft.com/office/drawing/2012/chart" uri="{CE6537A1-D6FC-4f65-9D91-7224C49458BB}"/>
                <c:ext xmlns:c16="http://schemas.microsoft.com/office/drawing/2014/chart" uri="{C3380CC4-5D6E-409C-BE32-E72D297353CC}">
                  <c16:uniqueId val="{00000017-2ECD-40DB-8D0C-B444F4DCC828}"/>
                </c:ext>
              </c:extLst>
            </c:dLbl>
            <c:dLbl>
              <c:idx val="12"/>
              <c:delete val="1"/>
              <c:extLst>
                <c:ext xmlns:c15="http://schemas.microsoft.com/office/drawing/2012/chart" uri="{CE6537A1-D6FC-4f65-9D91-7224C49458BB}"/>
                <c:ext xmlns:c16="http://schemas.microsoft.com/office/drawing/2014/chart" uri="{C3380CC4-5D6E-409C-BE32-E72D297353CC}">
                  <c16:uniqueId val="{00000019-2ECD-40DB-8D0C-B444F4DCC828}"/>
                </c:ext>
              </c:extLst>
            </c:dLbl>
            <c:dLbl>
              <c:idx val="13"/>
              <c:delete val="1"/>
              <c:extLst>
                <c:ext xmlns:c15="http://schemas.microsoft.com/office/drawing/2012/chart" uri="{CE6537A1-D6FC-4f65-9D91-7224C49458BB}"/>
                <c:ext xmlns:c16="http://schemas.microsoft.com/office/drawing/2014/chart" uri="{C3380CC4-5D6E-409C-BE32-E72D297353CC}">
                  <c16:uniqueId val="{0000001B-2ECD-40DB-8D0C-B444F4DCC828}"/>
                </c:ext>
              </c:extLst>
            </c:dLbl>
            <c:dLbl>
              <c:idx val="14"/>
              <c:delete val="1"/>
              <c:extLst>
                <c:ext xmlns:c15="http://schemas.microsoft.com/office/drawing/2012/chart" uri="{CE6537A1-D6FC-4f65-9D91-7224C49458BB}"/>
                <c:ext xmlns:c16="http://schemas.microsoft.com/office/drawing/2014/chart" uri="{C3380CC4-5D6E-409C-BE32-E72D297353CC}">
                  <c16:uniqueId val="{0000001D-2ECD-40DB-8D0C-B444F4DCC828}"/>
                </c:ext>
              </c:extLst>
            </c:dLbl>
            <c:dLbl>
              <c:idx val="15"/>
              <c:delete val="1"/>
              <c:extLst>
                <c:ext xmlns:c15="http://schemas.microsoft.com/office/drawing/2012/chart" uri="{CE6537A1-D6FC-4f65-9D91-7224C49458BB}"/>
                <c:ext xmlns:c16="http://schemas.microsoft.com/office/drawing/2014/chart" uri="{C3380CC4-5D6E-409C-BE32-E72D297353CC}">
                  <c16:uniqueId val="{0000001F-2ECD-40DB-8D0C-B444F4DCC828}"/>
                </c:ext>
              </c:extLst>
            </c:dLbl>
            <c:dLbl>
              <c:idx val="16"/>
              <c:delete val="1"/>
              <c:extLst>
                <c:ext xmlns:c15="http://schemas.microsoft.com/office/drawing/2012/chart" uri="{CE6537A1-D6FC-4f65-9D91-7224C49458BB}"/>
                <c:ext xmlns:c16="http://schemas.microsoft.com/office/drawing/2014/chart" uri="{C3380CC4-5D6E-409C-BE32-E72D297353CC}">
                  <c16:uniqueId val="{00000021-2ECD-40DB-8D0C-B444F4DCC828}"/>
                </c:ext>
              </c:extLst>
            </c:dLbl>
            <c:dLbl>
              <c:idx val="17"/>
              <c:delete val="1"/>
              <c:extLst>
                <c:ext xmlns:c15="http://schemas.microsoft.com/office/drawing/2012/chart" uri="{CE6537A1-D6FC-4f65-9D91-7224C49458BB}"/>
                <c:ext xmlns:c16="http://schemas.microsoft.com/office/drawing/2014/chart" uri="{C3380CC4-5D6E-409C-BE32-E72D297353CC}">
                  <c16:uniqueId val="{00000023-2ECD-40DB-8D0C-B444F4DCC828}"/>
                </c:ext>
              </c:extLst>
            </c:dLbl>
            <c:dLbl>
              <c:idx val="18"/>
              <c:delete val="1"/>
              <c:extLst>
                <c:ext xmlns:c15="http://schemas.microsoft.com/office/drawing/2012/chart" uri="{CE6537A1-D6FC-4f65-9D91-7224C49458BB}"/>
                <c:ext xmlns:c16="http://schemas.microsoft.com/office/drawing/2014/chart" uri="{C3380CC4-5D6E-409C-BE32-E72D297353CC}">
                  <c16:uniqueId val="{00000025-2ECD-40DB-8D0C-B444F4DCC828}"/>
                </c:ext>
              </c:extLst>
            </c:dLbl>
            <c:dLbl>
              <c:idx val="19"/>
              <c:delete val="1"/>
              <c:extLst>
                <c:ext xmlns:c15="http://schemas.microsoft.com/office/drawing/2012/chart" uri="{CE6537A1-D6FC-4f65-9D91-7224C49458BB}"/>
                <c:ext xmlns:c16="http://schemas.microsoft.com/office/drawing/2014/chart" uri="{C3380CC4-5D6E-409C-BE32-E72D297353CC}">
                  <c16:uniqueId val="{00000027-2ECD-40DB-8D0C-B444F4DCC828}"/>
                </c:ext>
              </c:extLst>
            </c:dLbl>
            <c:dLbl>
              <c:idx val="20"/>
              <c:delete val="1"/>
              <c:extLst>
                <c:ext xmlns:c15="http://schemas.microsoft.com/office/drawing/2012/chart" uri="{CE6537A1-D6FC-4f65-9D91-7224C49458BB}"/>
                <c:ext xmlns:c16="http://schemas.microsoft.com/office/drawing/2014/chart" uri="{C3380CC4-5D6E-409C-BE32-E72D297353CC}">
                  <c16:uniqueId val="{00000029-2ECD-40DB-8D0C-B444F4DCC828}"/>
                </c:ext>
              </c:extLst>
            </c:dLbl>
            <c:dLbl>
              <c:idx val="21"/>
              <c:delete val="1"/>
              <c:extLst>
                <c:ext xmlns:c15="http://schemas.microsoft.com/office/drawing/2012/chart" uri="{CE6537A1-D6FC-4f65-9D91-7224C49458BB}"/>
                <c:ext xmlns:c16="http://schemas.microsoft.com/office/drawing/2014/chart" uri="{C3380CC4-5D6E-409C-BE32-E72D297353CC}">
                  <c16:uniqueId val="{0000002B-2ECD-40DB-8D0C-B444F4DCC828}"/>
                </c:ext>
              </c:extLst>
            </c:dLbl>
            <c:dLbl>
              <c:idx val="2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ECD-40DB-8D0C-B444F4DCC828}"/>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s>
          <c:val>
            <c:numRef>
              <c:f>'QT02BM01 Bảng định lượng KNK TH'!$P$6:$P$26</c:f>
              <c:numCache>
                <c:formatCode>_(* #,##0.000_);_(* \(#,##0.000\);_(* "-"??_);_(@_)</c:formatCode>
                <c:ptCount val="21"/>
                <c:pt idx="0">
                  <c:v>5.666869686229108E-3</c:v>
                </c:pt>
                <c:pt idx="1">
                  <c:v>0.4940465781204128</c:v>
                </c:pt>
                <c:pt idx="2">
                  <c:v>3.696005735986433E-2</c:v>
                </c:pt>
                <c:pt idx="3">
                  <c:v>1.6266638926833762E-3</c:v>
                </c:pt>
                <c:pt idx="4">
                  <c:v>2.0556233677281642E-3</c:v>
                </c:pt>
                <c:pt idx="5">
                  <c:v>3.0319427200627729</c:v>
                </c:pt>
                <c:pt idx="6">
                  <c:v>6.474429880234089E-3</c:v>
                </c:pt>
                <c:pt idx="7">
                  <c:v>5.8801158052452195E-2</c:v>
                </c:pt>
                <c:pt idx="8">
                  <c:v>0.34908810121770301</c:v>
                </c:pt>
                <c:pt idx="9">
                  <c:v>0.69947128843787543</c:v>
                </c:pt>
                <c:pt idx="11">
                  <c:v>0.26923260424741141</c:v>
                </c:pt>
                <c:pt idx="12">
                  <c:v>1.4042643621010276</c:v>
                </c:pt>
                <c:pt idx="13">
                  <c:v>7.0160619219513901E-2</c:v>
                </c:pt>
                <c:pt idx="15" formatCode="_(* #,##0.00000_);_(* \(#,##0.00000\);_(* &quot;-&quot;??_);_(@_)">
                  <c:v>4.3772046566752665E-5</c:v>
                </c:pt>
                <c:pt idx="16">
                  <c:v>7.4494226418013662E-2</c:v>
                </c:pt>
                <c:pt idx="17">
                  <c:v>0.15736973811496158</c:v>
                </c:pt>
                <c:pt idx="18" formatCode="_(* #,##0.0000_);_(* \(#,##0.0000\);_(* &quot;-&quot;??_);_(@_)">
                  <c:v>3.2988743743618835E-4</c:v>
                </c:pt>
                <c:pt idx="20" formatCode="_(* #,##0.00_);_(* \(#,##0.00\);_(* &quot;-&quot;??_);_(@_)">
                  <c:v>93.337971300337117</c:v>
                </c:pt>
              </c:numCache>
            </c:numRef>
          </c:val>
          <c:extLst>
            <c:ext xmlns:c16="http://schemas.microsoft.com/office/drawing/2014/chart" uri="{C3380CC4-5D6E-409C-BE32-E72D297353CC}">
              <c16:uniqueId val="{0000002E-2ECD-40DB-8D0C-B444F4DCC82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ee29f99-4ce1-4ad4-9ae4-90ab02da984b}"/>
      </c:ext>
    </c:extLst>
  </c:chart>
  <c:spPr>
    <a:solidFill>
      <a:schemeClr val="bg1"/>
    </a:solidFill>
    <a:ln w="9525" cap="flat" cmpd="sng" algn="ctr">
      <a:solidFill>
        <a:schemeClr val="tx1">
          <a:lumMod val="15000"/>
          <a:lumOff val="85000"/>
        </a:schemeClr>
      </a:solidFill>
      <a:prstDash val="solid"/>
      <a:round/>
    </a:ln>
    <a:effectLst/>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24423</xdr:rowOff>
    </xdr:from>
    <xdr:to>
      <xdr:col>2</xdr:col>
      <xdr:colOff>24423</xdr:colOff>
      <xdr:row>0</xdr:row>
      <xdr:rowOff>903654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24130"/>
          <a:ext cx="1519555" cy="879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133</xdr:row>
      <xdr:rowOff>0</xdr:rowOff>
    </xdr:from>
    <xdr:to>
      <xdr:col>4</xdr:col>
      <xdr:colOff>0</xdr:colOff>
      <xdr:row>139</xdr:row>
      <xdr:rowOff>106680</xdr:rowOff>
    </xdr:to>
    <xdr:grpSp>
      <xdr:nvGrpSpPr>
        <xdr:cNvPr id="8" name="Group 7">
          <a:extLst>
            <a:ext uri="{FF2B5EF4-FFF2-40B4-BE49-F238E27FC236}">
              <a16:creationId xmlns:a16="http://schemas.microsoft.com/office/drawing/2014/main" id="{00000000-0008-0000-0200-000008000000}"/>
            </a:ext>
          </a:extLst>
        </xdr:cNvPr>
        <xdr:cNvGrpSpPr/>
      </xdr:nvGrpSpPr>
      <xdr:grpSpPr>
        <a:xfrm>
          <a:off x="0" y="54787800"/>
          <a:ext cx="8124825" cy="1421130"/>
          <a:chOff x="7620" y="7978140"/>
          <a:chExt cx="6560820" cy="1203960"/>
        </a:xfrm>
      </xdr:grpSpPr>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editAs="oneCell">
    <xdr:from>
      <xdr:col>0</xdr:col>
      <xdr:colOff>1</xdr:colOff>
      <xdr:row>0</xdr:row>
      <xdr:rowOff>19050</xdr:rowOff>
    </xdr:from>
    <xdr:to>
      <xdr:col>1</xdr:col>
      <xdr:colOff>1000125</xdr:colOff>
      <xdr:row>0</xdr:row>
      <xdr:rowOff>862965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19050"/>
          <a:ext cx="1466850" cy="843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91</xdr:row>
      <xdr:rowOff>0</xdr:rowOff>
    </xdr:from>
    <xdr:to>
      <xdr:col>12</xdr:col>
      <xdr:colOff>857250</xdr:colOff>
      <xdr:row>97</xdr:row>
      <xdr:rowOff>16809</xdr:rowOff>
    </xdr:to>
    <xdr:grpSp>
      <xdr:nvGrpSpPr>
        <xdr:cNvPr id="8" name="Group 7">
          <a:extLst>
            <a:ext uri="{FF2B5EF4-FFF2-40B4-BE49-F238E27FC236}">
              <a16:creationId xmlns:a16="http://schemas.microsoft.com/office/drawing/2014/main" id="{00000000-0008-0000-0300-000008000000}"/>
            </a:ext>
          </a:extLst>
        </xdr:cNvPr>
        <xdr:cNvGrpSpPr/>
      </xdr:nvGrpSpPr>
      <xdr:grpSpPr>
        <a:xfrm>
          <a:off x="0" y="33397031"/>
          <a:ext cx="18383250" cy="1231247"/>
          <a:chOff x="7620" y="7978140"/>
          <a:chExt cx="6560820" cy="1203960"/>
        </a:xfrm>
      </xdr:grpSpPr>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130</xdr:row>
      <xdr:rowOff>0</xdr:rowOff>
    </xdr:from>
    <xdr:to>
      <xdr:col>4</xdr:col>
      <xdr:colOff>0</xdr:colOff>
      <xdr:row>136</xdr:row>
      <xdr:rowOff>106680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0" y="17383125"/>
          <a:ext cx="8131969" cy="1392555"/>
          <a:chOff x="7620" y="7978140"/>
          <a:chExt cx="6560820" cy="1203960"/>
        </a:xfrm>
      </xdr:grpSpPr>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50</xdr:row>
      <xdr:rowOff>0</xdr:rowOff>
    </xdr:from>
    <xdr:to>
      <xdr:col>10</xdr:col>
      <xdr:colOff>1083468</xdr:colOff>
      <xdr:row>56</xdr:row>
      <xdr:rowOff>104775</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0" y="18669000"/>
          <a:ext cx="16024111" cy="1247775"/>
          <a:chOff x="7620" y="7978140"/>
          <a:chExt cx="6560820" cy="1203960"/>
        </a:xfrm>
      </xdr:grpSpPr>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0</xdr:col>
      <xdr:colOff>0</xdr:colOff>
      <xdr:row>50</xdr:row>
      <xdr:rowOff>0</xdr:rowOff>
    </xdr:from>
    <xdr:to>
      <xdr:col>10</xdr:col>
      <xdr:colOff>607218</xdr:colOff>
      <xdr:row>56</xdr:row>
      <xdr:rowOff>104775</xdr:rowOff>
    </xdr:to>
    <xdr:grpSp>
      <xdr:nvGrpSpPr>
        <xdr:cNvPr id="7" name="Group 6">
          <a:extLst>
            <a:ext uri="{FF2B5EF4-FFF2-40B4-BE49-F238E27FC236}">
              <a16:creationId xmlns:a16="http://schemas.microsoft.com/office/drawing/2014/main" id="{00000000-0008-0000-0500-000007000000}"/>
            </a:ext>
          </a:extLst>
        </xdr:cNvPr>
        <xdr:cNvGrpSpPr/>
      </xdr:nvGrpSpPr>
      <xdr:grpSpPr>
        <a:xfrm>
          <a:off x="0" y="18669000"/>
          <a:ext cx="15547861" cy="1247775"/>
          <a:chOff x="7620" y="7978140"/>
          <a:chExt cx="6560820" cy="1203960"/>
        </a:xfrm>
      </xdr:grpSpPr>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editAs="oneCell">
    <xdr:from>
      <xdr:col>0</xdr:col>
      <xdr:colOff>258536</xdr:colOff>
      <xdr:row>0</xdr:row>
      <xdr:rowOff>122464</xdr:rowOff>
    </xdr:from>
    <xdr:to>
      <xdr:col>0</xdr:col>
      <xdr:colOff>1662862</xdr:colOff>
      <xdr:row>1</xdr:row>
      <xdr:rowOff>430195</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
        <a:stretch>
          <a:fillRect/>
        </a:stretch>
      </xdr:blipFill>
      <xdr:spPr>
        <a:xfrm>
          <a:off x="258445" y="121920"/>
          <a:ext cx="1403985" cy="879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49</xdr:row>
      <xdr:rowOff>0</xdr:rowOff>
    </xdr:from>
    <xdr:to>
      <xdr:col>10</xdr:col>
      <xdr:colOff>1083468</xdr:colOff>
      <xdr:row>55</xdr:row>
      <xdr:rowOff>104775</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0" y="16900071"/>
          <a:ext cx="16024111" cy="1247775"/>
          <a:chOff x="7620" y="7978140"/>
          <a:chExt cx="6560820" cy="1203960"/>
        </a:xfrm>
      </xdr:grpSpPr>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0</xdr:col>
      <xdr:colOff>0</xdr:colOff>
      <xdr:row>49</xdr:row>
      <xdr:rowOff>0</xdr:rowOff>
    </xdr:from>
    <xdr:to>
      <xdr:col>10</xdr:col>
      <xdr:colOff>607218</xdr:colOff>
      <xdr:row>55</xdr:row>
      <xdr:rowOff>104775</xdr:rowOff>
    </xdr:to>
    <xdr:grpSp>
      <xdr:nvGrpSpPr>
        <xdr:cNvPr id="6" name="Group 5">
          <a:extLst>
            <a:ext uri="{FF2B5EF4-FFF2-40B4-BE49-F238E27FC236}">
              <a16:creationId xmlns:a16="http://schemas.microsoft.com/office/drawing/2014/main" id="{00000000-0008-0000-0600-000006000000}"/>
            </a:ext>
          </a:extLst>
        </xdr:cNvPr>
        <xdr:cNvGrpSpPr/>
      </xdr:nvGrpSpPr>
      <xdr:grpSpPr>
        <a:xfrm>
          <a:off x="0" y="16900071"/>
          <a:ext cx="15547861" cy="1247775"/>
          <a:chOff x="7620" y="7978140"/>
          <a:chExt cx="6560820" cy="1203960"/>
        </a:xfrm>
      </xdr:grpSpPr>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9" name="TextBox 8">
            <a:extLst>
              <a:ext uri="{FF2B5EF4-FFF2-40B4-BE49-F238E27FC236}">
                <a16:creationId xmlns:a16="http://schemas.microsoft.com/office/drawing/2014/main" id="{00000000-0008-0000-0600-000009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52</xdr:row>
      <xdr:rowOff>0</xdr:rowOff>
    </xdr:from>
    <xdr:to>
      <xdr:col>10</xdr:col>
      <xdr:colOff>1083468</xdr:colOff>
      <xdr:row>58</xdr:row>
      <xdr:rowOff>104775</xdr:rowOff>
    </xdr:to>
    <xdr:grpSp>
      <xdr:nvGrpSpPr>
        <xdr:cNvPr id="2" name="Group 1">
          <a:extLst>
            <a:ext uri="{FF2B5EF4-FFF2-40B4-BE49-F238E27FC236}">
              <a16:creationId xmlns:a16="http://schemas.microsoft.com/office/drawing/2014/main" id="{00000000-0008-0000-0700-000002000000}"/>
            </a:ext>
          </a:extLst>
        </xdr:cNvPr>
        <xdr:cNvGrpSpPr/>
      </xdr:nvGrpSpPr>
      <xdr:grpSpPr>
        <a:xfrm>
          <a:off x="0" y="21254357"/>
          <a:ext cx="15820004" cy="1247775"/>
          <a:chOff x="7620" y="7978140"/>
          <a:chExt cx="6560820" cy="1203960"/>
        </a:xfrm>
      </xdr:grpSpPr>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0</xdr:col>
      <xdr:colOff>0</xdr:colOff>
      <xdr:row>52</xdr:row>
      <xdr:rowOff>0</xdr:rowOff>
    </xdr:from>
    <xdr:to>
      <xdr:col>10</xdr:col>
      <xdr:colOff>607218</xdr:colOff>
      <xdr:row>58</xdr:row>
      <xdr:rowOff>104775</xdr:rowOff>
    </xdr:to>
    <xdr:grpSp>
      <xdr:nvGrpSpPr>
        <xdr:cNvPr id="7" name="Group 6">
          <a:extLst>
            <a:ext uri="{FF2B5EF4-FFF2-40B4-BE49-F238E27FC236}">
              <a16:creationId xmlns:a16="http://schemas.microsoft.com/office/drawing/2014/main" id="{00000000-0008-0000-0700-000007000000}"/>
            </a:ext>
          </a:extLst>
        </xdr:cNvPr>
        <xdr:cNvGrpSpPr/>
      </xdr:nvGrpSpPr>
      <xdr:grpSpPr>
        <a:xfrm>
          <a:off x="0" y="21254357"/>
          <a:ext cx="15343754" cy="1247775"/>
          <a:chOff x="7620" y="7978140"/>
          <a:chExt cx="6560820" cy="1203960"/>
        </a:xfrm>
      </xdr:grpSpPr>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editAs="oneCell">
    <xdr:from>
      <xdr:col>0</xdr:col>
      <xdr:colOff>422564</xdr:colOff>
      <xdr:row>0</xdr:row>
      <xdr:rowOff>34335</xdr:rowOff>
    </xdr:from>
    <xdr:to>
      <xdr:col>0</xdr:col>
      <xdr:colOff>1400175</xdr:colOff>
      <xdr:row>0</xdr:row>
      <xdr:rowOff>800100</xdr:rowOff>
    </xdr:to>
    <xdr:pic>
      <xdr:nvPicPr>
        <xdr:cNvPr id="11" name="Picture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1"/>
        <a:stretch>
          <a:fillRect/>
        </a:stretch>
      </xdr:blipFill>
      <xdr:spPr>
        <a:xfrm>
          <a:off x="422275" y="34290"/>
          <a:ext cx="977900" cy="7658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52</xdr:row>
      <xdr:rowOff>0</xdr:rowOff>
    </xdr:from>
    <xdr:to>
      <xdr:col>10</xdr:col>
      <xdr:colOff>1083468</xdr:colOff>
      <xdr:row>58</xdr:row>
      <xdr:rowOff>104775</xdr:rowOff>
    </xdr:to>
    <xdr:grpSp>
      <xdr:nvGrpSpPr>
        <xdr:cNvPr id="2" name="Group 1">
          <a:extLst>
            <a:ext uri="{FF2B5EF4-FFF2-40B4-BE49-F238E27FC236}">
              <a16:creationId xmlns:a16="http://schemas.microsoft.com/office/drawing/2014/main" id="{00000000-0008-0000-0800-000002000000}"/>
            </a:ext>
          </a:extLst>
        </xdr:cNvPr>
        <xdr:cNvGrpSpPr/>
      </xdr:nvGrpSpPr>
      <xdr:grpSpPr>
        <a:xfrm>
          <a:off x="0" y="22410964"/>
          <a:ext cx="15820004" cy="1247775"/>
          <a:chOff x="7620" y="7978140"/>
          <a:chExt cx="6560820" cy="1203960"/>
        </a:xfrm>
      </xdr:grpSpPr>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0</xdr:col>
      <xdr:colOff>0</xdr:colOff>
      <xdr:row>52</xdr:row>
      <xdr:rowOff>0</xdr:rowOff>
    </xdr:from>
    <xdr:to>
      <xdr:col>10</xdr:col>
      <xdr:colOff>607218</xdr:colOff>
      <xdr:row>58</xdr:row>
      <xdr:rowOff>104775</xdr:rowOff>
    </xdr:to>
    <xdr:grpSp>
      <xdr:nvGrpSpPr>
        <xdr:cNvPr id="6" name="Group 5">
          <a:extLst>
            <a:ext uri="{FF2B5EF4-FFF2-40B4-BE49-F238E27FC236}">
              <a16:creationId xmlns:a16="http://schemas.microsoft.com/office/drawing/2014/main" id="{00000000-0008-0000-0800-000006000000}"/>
            </a:ext>
          </a:extLst>
        </xdr:cNvPr>
        <xdr:cNvGrpSpPr/>
      </xdr:nvGrpSpPr>
      <xdr:grpSpPr>
        <a:xfrm>
          <a:off x="0" y="22410964"/>
          <a:ext cx="15343754" cy="1247775"/>
          <a:chOff x="7620" y="7978140"/>
          <a:chExt cx="6560820" cy="1203960"/>
        </a:xfrm>
      </xdr:grpSpPr>
      <xdr:sp macro="" textlink="">
        <xdr:nvSpPr>
          <xdr:cNvPr id="7" name="TextBox 6">
            <a:extLst>
              <a:ext uri="{FF2B5EF4-FFF2-40B4-BE49-F238E27FC236}">
                <a16:creationId xmlns:a16="http://schemas.microsoft.com/office/drawing/2014/main" id="{00000000-0008-0000-0800-000007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8" name="TextBox 7">
            <a:extLst>
              <a:ext uri="{FF2B5EF4-FFF2-40B4-BE49-F238E27FC236}">
                <a16:creationId xmlns:a16="http://schemas.microsoft.com/office/drawing/2014/main" id="{00000000-0008-0000-0800-000008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9" name="TextBox 8">
            <a:extLst>
              <a:ext uri="{FF2B5EF4-FFF2-40B4-BE49-F238E27FC236}">
                <a16:creationId xmlns:a16="http://schemas.microsoft.com/office/drawing/2014/main" id="{00000000-0008-0000-0800-000009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268941</xdr:colOff>
      <xdr:row>33</xdr:row>
      <xdr:rowOff>161364</xdr:rowOff>
    </xdr:from>
    <xdr:to>
      <xdr:col>8</xdr:col>
      <xdr:colOff>0</xdr:colOff>
      <xdr:row>43</xdr:row>
      <xdr:rowOff>143435</xdr:rowOff>
    </xdr:to>
    <xdr:grpSp>
      <xdr:nvGrpSpPr>
        <xdr:cNvPr id="2" name="Group 1">
          <a:extLst>
            <a:ext uri="{FF2B5EF4-FFF2-40B4-BE49-F238E27FC236}">
              <a16:creationId xmlns:a16="http://schemas.microsoft.com/office/drawing/2014/main" id="{00000000-0008-0000-0900-000002000000}"/>
            </a:ext>
          </a:extLst>
        </xdr:cNvPr>
        <xdr:cNvGrpSpPr/>
      </xdr:nvGrpSpPr>
      <xdr:grpSpPr>
        <a:xfrm>
          <a:off x="268941" y="15795971"/>
          <a:ext cx="10262988" cy="3656000"/>
          <a:chOff x="7620" y="7978140"/>
          <a:chExt cx="6560820" cy="1203960"/>
        </a:xfrm>
      </xdr:grpSpPr>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editAs="oneCell">
    <xdr:from>
      <xdr:col>0</xdr:col>
      <xdr:colOff>731888</xdr:colOff>
      <xdr:row>0</xdr:row>
      <xdr:rowOff>12791</xdr:rowOff>
    </xdr:from>
    <xdr:to>
      <xdr:col>1</xdr:col>
      <xdr:colOff>1888117</xdr:colOff>
      <xdr:row>2</xdr:row>
      <xdr:rowOff>3810</xdr:rowOff>
    </xdr:to>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a:stretch>
          <a:fillRect/>
        </a:stretch>
      </xdr:blipFill>
      <xdr:spPr>
        <a:xfrm>
          <a:off x="731520" y="12700"/>
          <a:ext cx="1899285" cy="715010"/>
        </a:xfrm>
        <a:prstGeom prst="rect">
          <a:avLst/>
        </a:prstGeom>
      </xdr:spPr>
    </xdr:pic>
    <xdr:clientData/>
  </xdr:twoCellAnchor>
  <xdr:twoCellAnchor>
    <xdr:from>
      <xdr:col>8</xdr:col>
      <xdr:colOff>1618383</xdr:colOff>
      <xdr:row>19</xdr:row>
      <xdr:rowOff>121227</xdr:rowOff>
    </xdr:from>
    <xdr:to>
      <xdr:col>19</xdr:col>
      <xdr:colOff>450272</xdr:colOff>
      <xdr:row>28</xdr:row>
      <xdr:rowOff>381000</xdr:rowOff>
    </xdr:to>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268941</xdr:colOff>
      <xdr:row>33</xdr:row>
      <xdr:rowOff>161364</xdr:rowOff>
    </xdr:from>
    <xdr:to>
      <xdr:col>8</xdr:col>
      <xdr:colOff>0</xdr:colOff>
      <xdr:row>43</xdr:row>
      <xdr:rowOff>143435</xdr:rowOff>
    </xdr:to>
    <xdr:grpSp>
      <xdr:nvGrpSpPr>
        <xdr:cNvPr id="7" name="Group 6">
          <a:extLst>
            <a:ext uri="{FF2B5EF4-FFF2-40B4-BE49-F238E27FC236}">
              <a16:creationId xmlns:a16="http://schemas.microsoft.com/office/drawing/2014/main" id="{00000000-0008-0000-0900-000007000000}"/>
            </a:ext>
          </a:extLst>
        </xdr:cNvPr>
        <xdr:cNvGrpSpPr/>
      </xdr:nvGrpSpPr>
      <xdr:grpSpPr>
        <a:xfrm>
          <a:off x="268941" y="15795971"/>
          <a:ext cx="10262988" cy="3656000"/>
          <a:chOff x="7620" y="7978140"/>
          <a:chExt cx="6560820" cy="1203960"/>
        </a:xfrm>
      </xdr:grpSpPr>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8</xdr:col>
      <xdr:colOff>1618383</xdr:colOff>
      <xdr:row>19</xdr:row>
      <xdr:rowOff>121227</xdr:rowOff>
    </xdr:from>
    <xdr:to>
      <xdr:col>19</xdr:col>
      <xdr:colOff>450272</xdr:colOff>
      <xdr:row>28</xdr:row>
      <xdr:rowOff>381000</xdr:rowOff>
    </xdr:to>
    <xdr:graphicFrame macro="">
      <xdr:nvGraphicFramePr>
        <xdr:cNvPr id="12" name="Chart 11">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268941</xdr:colOff>
      <xdr:row>33</xdr:row>
      <xdr:rowOff>161364</xdr:rowOff>
    </xdr:from>
    <xdr:to>
      <xdr:col>8</xdr:col>
      <xdr:colOff>0</xdr:colOff>
      <xdr:row>43</xdr:row>
      <xdr:rowOff>143435</xdr:rowOff>
    </xdr:to>
    <xdr:grpSp>
      <xdr:nvGrpSpPr>
        <xdr:cNvPr id="13" name="Group 12">
          <a:extLst>
            <a:ext uri="{FF2B5EF4-FFF2-40B4-BE49-F238E27FC236}">
              <a16:creationId xmlns:a16="http://schemas.microsoft.com/office/drawing/2014/main" id="{00000000-0008-0000-0900-00000D000000}"/>
            </a:ext>
          </a:extLst>
        </xdr:cNvPr>
        <xdr:cNvGrpSpPr/>
      </xdr:nvGrpSpPr>
      <xdr:grpSpPr>
        <a:xfrm>
          <a:off x="268941" y="15795971"/>
          <a:ext cx="10262988" cy="3656000"/>
          <a:chOff x="7620" y="7978140"/>
          <a:chExt cx="6560820" cy="1203960"/>
        </a:xfrm>
      </xdr:grpSpPr>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15" name="TextBox 14">
            <a:extLst>
              <a:ext uri="{FF2B5EF4-FFF2-40B4-BE49-F238E27FC236}">
                <a16:creationId xmlns:a16="http://schemas.microsoft.com/office/drawing/2014/main" id="{00000000-0008-0000-0900-00000F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8</xdr:col>
      <xdr:colOff>1618383</xdr:colOff>
      <xdr:row>19</xdr:row>
      <xdr:rowOff>121227</xdr:rowOff>
    </xdr:from>
    <xdr:to>
      <xdr:col>19</xdr:col>
      <xdr:colOff>450272</xdr:colOff>
      <xdr:row>28</xdr:row>
      <xdr:rowOff>381000</xdr:rowOff>
    </xdr:to>
    <xdr:graphicFrame macro="">
      <xdr:nvGraphicFramePr>
        <xdr:cNvPr id="17" name="Chart 16">
          <a:extLst>
            <a:ext uri="{FF2B5EF4-FFF2-40B4-BE49-F238E27FC236}">
              <a16:creationId xmlns:a16="http://schemas.microsoft.com/office/drawing/2014/main" id="{00000000-0008-0000-09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268941</xdr:colOff>
      <xdr:row>31</xdr:row>
      <xdr:rowOff>161364</xdr:rowOff>
    </xdr:from>
    <xdr:to>
      <xdr:col>8</xdr:col>
      <xdr:colOff>0</xdr:colOff>
      <xdr:row>41</xdr:row>
      <xdr:rowOff>143435</xdr:rowOff>
    </xdr:to>
    <xdr:grpSp>
      <xdr:nvGrpSpPr>
        <xdr:cNvPr id="2" name="Group 1">
          <a:extLst>
            <a:ext uri="{FF2B5EF4-FFF2-40B4-BE49-F238E27FC236}">
              <a16:creationId xmlns:a16="http://schemas.microsoft.com/office/drawing/2014/main" id="{00000000-0008-0000-0A00-000002000000}"/>
            </a:ext>
          </a:extLst>
        </xdr:cNvPr>
        <xdr:cNvGrpSpPr/>
      </xdr:nvGrpSpPr>
      <xdr:grpSpPr>
        <a:xfrm>
          <a:off x="268941" y="14258364"/>
          <a:ext cx="10256184" cy="3633321"/>
          <a:chOff x="7620" y="7978140"/>
          <a:chExt cx="6560820" cy="1203960"/>
        </a:xfrm>
      </xdr:grpSpPr>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8</xdr:col>
      <xdr:colOff>1618383</xdr:colOff>
      <xdr:row>18</xdr:row>
      <xdr:rowOff>121227</xdr:rowOff>
    </xdr:from>
    <xdr:to>
      <xdr:col>19</xdr:col>
      <xdr:colOff>450272</xdr:colOff>
      <xdr:row>26</xdr:row>
      <xdr:rowOff>381000</xdr:rowOff>
    </xdr:to>
    <xdr:graphicFrame macro="">
      <xdr:nvGraphicFramePr>
        <xdr:cNvPr id="7" name="Chart 6">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268941</xdr:colOff>
      <xdr:row>31</xdr:row>
      <xdr:rowOff>161364</xdr:rowOff>
    </xdr:from>
    <xdr:to>
      <xdr:col>8</xdr:col>
      <xdr:colOff>0</xdr:colOff>
      <xdr:row>41</xdr:row>
      <xdr:rowOff>143435</xdr:rowOff>
    </xdr:to>
    <xdr:grpSp>
      <xdr:nvGrpSpPr>
        <xdr:cNvPr id="8" name="Group 7">
          <a:extLst>
            <a:ext uri="{FF2B5EF4-FFF2-40B4-BE49-F238E27FC236}">
              <a16:creationId xmlns:a16="http://schemas.microsoft.com/office/drawing/2014/main" id="{00000000-0008-0000-0A00-000008000000}"/>
            </a:ext>
          </a:extLst>
        </xdr:cNvPr>
        <xdr:cNvGrpSpPr/>
      </xdr:nvGrpSpPr>
      <xdr:grpSpPr>
        <a:xfrm>
          <a:off x="268941" y="14258364"/>
          <a:ext cx="10256184" cy="3633321"/>
          <a:chOff x="7620" y="7978140"/>
          <a:chExt cx="6560820" cy="1203960"/>
        </a:xfrm>
      </xdr:grpSpPr>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10" name="TextBox 9">
            <a:extLst>
              <a:ext uri="{FF2B5EF4-FFF2-40B4-BE49-F238E27FC236}">
                <a16:creationId xmlns:a16="http://schemas.microsoft.com/office/drawing/2014/main" id="{00000000-0008-0000-0A00-00000A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1" name="TextBox 10">
            <a:extLst>
              <a:ext uri="{FF2B5EF4-FFF2-40B4-BE49-F238E27FC236}">
                <a16:creationId xmlns:a16="http://schemas.microsoft.com/office/drawing/2014/main" id="{00000000-0008-0000-0A00-00000B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8</xdr:col>
      <xdr:colOff>1618383</xdr:colOff>
      <xdr:row>18</xdr:row>
      <xdr:rowOff>121227</xdr:rowOff>
    </xdr:from>
    <xdr:to>
      <xdr:col>19</xdr:col>
      <xdr:colOff>450272</xdr:colOff>
      <xdr:row>26</xdr:row>
      <xdr:rowOff>381000</xdr:rowOff>
    </xdr:to>
    <xdr:graphicFrame macro="">
      <xdr:nvGraphicFramePr>
        <xdr:cNvPr id="12" name="Chart 11">
          <a:extLst>
            <a:ext uri="{FF2B5EF4-FFF2-40B4-BE49-F238E27FC236}">
              <a16:creationId xmlns:a16="http://schemas.microsoft.com/office/drawing/2014/main" id="{00000000-0008-0000-0A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268941</xdr:colOff>
      <xdr:row>31</xdr:row>
      <xdr:rowOff>161364</xdr:rowOff>
    </xdr:from>
    <xdr:to>
      <xdr:col>8</xdr:col>
      <xdr:colOff>0</xdr:colOff>
      <xdr:row>41</xdr:row>
      <xdr:rowOff>143435</xdr:rowOff>
    </xdr:to>
    <xdr:grpSp>
      <xdr:nvGrpSpPr>
        <xdr:cNvPr id="13" name="Group 12">
          <a:extLst>
            <a:ext uri="{FF2B5EF4-FFF2-40B4-BE49-F238E27FC236}">
              <a16:creationId xmlns:a16="http://schemas.microsoft.com/office/drawing/2014/main" id="{00000000-0008-0000-0A00-00000D000000}"/>
            </a:ext>
          </a:extLst>
        </xdr:cNvPr>
        <xdr:cNvGrpSpPr/>
      </xdr:nvGrpSpPr>
      <xdr:grpSpPr>
        <a:xfrm>
          <a:off x="268941" y="14258364"/>
          <a:ext cx="10256184" cy="3633321"/>
          <a:chOff x="7620" y="7978140"/>
          <a:chExt cx="6560820" cy="1203960"/>
        </a:xfrm>
      </xdr:grpSpPr>
      <xdr:sp macro="" textlink="">
        <xdr:nvSpPr>
          <xdr:cNvPr id="14" name="TextBox 13">
            <a:extLst>
              <a:ext uri="{FF2B5EF4-FFF2-40B4-BE49-F238E27FC236}">
                <a16:creationId xmlns:a16="http://schemas.microsoft.com/office/drawing/2014/main" id="{00000000-0008-0000-0A00-00000E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15" name="TextBox 14">
            <a:extLst>
              <a:ext uri="{FF2B5EF4-FFF2-40B4-BE49-F238E27FC236}">
                <a16:creationId xmlns:a16="http://schemas.microsoft.com/office/drawing/2014/main" id="{00000000-0008-0000-0A00-00000F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6" name="TextBox 15">
            <a:extLst>
              <a:ext uri="{FF2B5EF4-FFF2-40B4-BE49-F238E27FC236}">
                <a16:creationId xmlns:a16="http://schemas.microsoft.com/office/drawing/2014/main" id="{00000000-0008-0000-0A00-000010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8</xdr:col>
      <xdr:colOff>1618383</xdr:colOff>
      <xdr:row>18</xdr:row>
      <xdr:rowOff>121227</xdr:rowOff>
    </xdr:from>
    <xdr:to>
      <xdr:col>19</xdr:col>
      <xdr:colOff>450272</xdr:colOff>
      <xdr:row>26</xdr:row>
      <xdr:rowOff>381000</xdr:rowOff>
    </xdr:to>
    <xdr:graphicFrame macro="">
      <xdr:nvGraphicFramePr>
        <xdr:cNvPr id="17" name="Chart 16">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268941</xdr:colOff>
      <xdr:row>31</xdr:row>
      <xdr:rowOff>161364</xdr:rowOff>
    </xdr:from>
    <xdr:to>
      <xdr:col>16</xdr:col>
      <xdr:colOff>0</xdr:colOff>
      <xdr:row>41</xdr:row>
      <xdr:rowOff>143435</xdr:rowOff>
    </xdr:to>
    <xdr:grpSp>
      <xdr:nvGrpSpPr>
        <xdr:cNvPr id="5" name="Group 4">
          <a:extLst>
            <a:ext uri="{FF2B5EF4-FFF2-40B4-BE49-F238E27FC236}">
              <a16:creationId xmlns:a16="http://schemas.microsoft.com/office/drawing/2014/main" id="{00000000-0008-0000-0B00-000005000000}"/>
            </a:ext>
          </a:extLst>
        </xdr:cNvPr>
        <xdr:cNvGrpSpPr/>
      </xdr:nvGrpSpPr>
      <xdr:grpSpPr>
        <a:xfrm>
          <a:off x="268941" y="13496364"/>
          <a:ext cx="17759286" cy="2579798"/>
          <a:chOff x="7620" y="7978140"/>
          <a:chExt cx="6560820" cy="1203960"/>
        </a:xfrm>
      </xdr:grpSpPr>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8" name="TextBox 7">
            <a:extLst>
              <a:ext uri="{FF2B5EF4-FFF2-40B4-BE49-F238E27FC236}">
                <a16:creationId xmlns:a16="http://schemas.microsoft.com/office/drawing/2014/main" id="{00000000-0008-0000-0B00-000008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16</xdr:col>
      <xdr:colOff>194310</xdr:colOff>
      <xdr:row>3</xdr:row>
      <xdr:rowOff>0</xdr:rowOff>
    </xdr:from>
    <xdr:to>
      <xdr:col>32</xdr:col>
      <xdr:colOff>259772</xdr:colOff>
      <xdr:row>15</xdr:row>
      <xdr:rowOff>883228</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1618383</xdr:colOff>
      <xdr:row>16</xdr:row>
      <xdr:rowOff>121227</xdr:rowOff>
    </xdr:from>
    <xdr:to>
      <xdr:col>27</xdr:col>
      <xdr:colOff>450272</xdr:colOff>
      <xdr:row>24</xdr:row>
      <xdr:rowOff>381000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268941</xdr:colOff>
      <xdr:row>31</xdr:row>
      <xdr:rowOff>161364</xdr:rowOff>
    </xdr:from>
    <xdr:to>
      <xdr:col>16</xdr:col>
      <xdr:colOff>0</xdr:colOff>
      <xdr:row>41</xdr:row>
      <xdr:rowOff>143435</xdr:rowOff>
    </xdr:to>
    <xdr:grpSp>
      <xdr:nvGrpSpPr>
        <xdr:cNvPr id="9" name="Group 8">
          <a:extLst>
            <a:ext uri="{FF2B5EF4-FFF2-40B4-BE49-F238E27FC236}">
              <a16:creationId xmlns:a16="http://schemas.microsoft.com/office/drawing/2014/main" id="{00000000-0008-0000-0B00-000009000000}"/>
            </a:ext>
          </a:extLst>
        </xdr:cNvPr>
        <xdr:cNvGrpSpPr/>
      </xdr:nvGrpSpPr>
      <xdr:grpSpPr>
        <a:xfrm>
          <a:off x="268941" y="13496364"/>
          <a:ext cx="17759286" cy="2579798"/>
          <a:chOff x="7620" y="7978140"/>
          <a:chExt cx="6560820" cy="1203960"/>
        </a:xfrm>
      </xdr:grpSpPr>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twoCellAnchor>
    <xdr:from>
      <xdr:col>16</xdr:col>
      <xdr:colOff>194310</xdr:colOff>
      <xdr:row>3</xdr:row>
      <xdr:rowOff>0</xdr:rowOff>
    </xdr:from>
    <xdr:to>
      <xdr:col>32</xdr:col>
      <xdr:colOff>259772</xdr:colOff>
      <xdr:row>15</xdr:row>
      <xdr:rowOff>883228</xdr:rowOff>
    </xdr:to>
    <xdr:graphicFrame macro="">
      <xdr:nvGraphicFramePr>
        <xdr:cNvPr id="13" name="Chart 12">
          <a:extLst>
            <a:ext uri="{FF2B5EF4-FFF2-40B4-BE49-F238E27FC236}">
              <a16:creationId xmlns:a16="http://schemas.microsoft.com/office/drawing/2014/main" id="{00000000-0008-0000-0B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1618383</xdr:colOff>
      <xdr:row>16</xdr:row>
      <xdr:rowOff>121227</xdr:rowOff>
    </xdr:from>
    <xdr:to>
      <xdr:col>27</xdr:col>
      <xdr:colOff>450272</xdr:colOff>
      <xdr:row>24</xdr:row>
      <xdr:rowOff>381000</xdr:rowOff>
    </xdr:to>
    <xdr:graphicFrame macro="">
      <xdr:nvGraphicFramePr>
        <xdr:cNvPr id="14" name="Chart 13">
          <a:extLst>
            <a:ext uri="{FF2B5EF4-FFF2-40B4-BE49-F238E27FC236}">
              <a16:creationId xmlns:a16="http://schemas.microsoft.com/office/drawing/2014/main" id="{00000000-0008-0000-0B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59532</xdr:colOff>
      <xdr:row>0</xdr:row>
      <xdr:rowOff>73819</xdr:rowOff>
    </xdr:from>
    <xdr:to>
      <xdr:col>1</xdr:col>
      <xdr:colOff>1202533</xdr:colOff>
      <xdr:row>2</xdr:row>
      <xdr:rowOff>285166</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59055" y="73660"/>
          <a:ext cx="1828800" cy="8693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64</xdr:row>
      <xdr:rowOff>0</xdr:rowOff>
    </xdr:from>
    <xdr:to>
      <xdr:col>10</xdr:col>
      <xdr:colOff>17930</xdr:colOff>
      <xdr:row>75</xdr:row>
      <xdr:rowOff>29456</xdr:rowOff>
    </xdr:to>
    <xdr:grpSp>
      <xdr:nvGrpSpPr>
        <xdr:cNvPr id="2" name="Group 1">
          <a:extLst>
            <a:ext uri="{FF2B5EF4-FFF2-40B4-BE49-F238E27FC236}">
              <a16:creationId xmlns:a16="http://schemas.microsoft.com/office/drawing/2014/main" id="{00000000-0008-0000-1C00-000002000000}"/>
            </a:ext>
          </a:extLst>
        </xdr:cNvPr>
        <xdr:cNvGrpSpPr/>
      </xdr:nvGrpSpPr>
      <xdr:grpSpPr>
        <a:xfrm>
          <a:off x="0" y="34512250"/>
          <a:ext cx="10304930" cy="1950331"/>
          <a:chOff x="7620" y="7978140"/>
          <a:chExt cx="6560820" cy="1203960"/>
        </a:xfrm>
      </xdr:grpSpPr>
      <xdr:sp macro="" textlink="">
        <xdr:nvSpPr>
          <xdr:cNvPr id="3" name="TextBox 2">
            <a:extLst>
              <a:ext uri="{FF2B5EF4-FFF2-40B4-BE49-F238E27FC236}">
                <a16:creationId xmlns:a16="http://schemas.microsoft.com/office/drawing/2014/main" id="{00000000-0008-0000-1C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1C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1C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33</xdr:row>
      <xdr:rowOff>0</xdr:rowOff>
    </xdr:from>
    <xdr:to>
      <xdr:col>11</xdr:col>
      <xdr:colOff>17930</xdr:colOff>
      <xdr:row>44</xdr:row>
      <xdr:rowOff>29456</xdr:rowOff>
    </xdr:to>
    <xdr:grpSp>
      <xdr:nvGrpSpPr>
        <xdr:cNvPr id="2" name="Group 1">
          <a:extLst>
            <a:ext uri="{FF2B5EF4-FFF2-40B4-BE49-F238E27FC236}">
              <a16:creationId xmlns:a16="http://schemas.microsoft.com/office/drawing/2014/main" id="{00000000-0008-0000-1D00-000002000000}"/>
            </a:ext>
          </a:extLst>
        </xdr:cNvPr>
        <xdr:cNvGrpSpPr/>
      </xdr:nvGrpSpPr>
      <xdr:grpSpPr>
        <a:xfrm>
          <a:off x="0" y="13294179"/>
          <a:ext cx="10971680" cy="1975277"/>
          <a:chOff x="7620" y="7978140"/>
          <a:chExt cx="6560820" cy="1203960"/>
        </a:xfrm>
      </xdr:grpSpPr>
      <xdr:sp macro="" textlink="">
        <xdr:nvSpPr>
          <xdr:cNvPr id="3" name="TextBox 2">
            <a:extLst>
              <a:ext uri="{FF2B5EF4-FFF2-40B4-BE49-F238E27FC236}">
                <a16:creationId xmlns:a16="http://schemas.microsoft.com/office/drawing/2014/main" id="{00000000-0008-0000-1D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1D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1D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297179</xdr:colOff>
      <xdr:row>35</xdr:row>
      <xdr:rowOff>172920</xdr:rowOff>
    </xdr:from>
    <xdr:to>
      <xdr:col>17</xdr:col>
      <xdr:colOff>0</xdr:colOff>
      <xdr:row>42</xdr:row>
      <xdr:rowOff>151475</xdr:rowOff>
    </xdr:to>
    <xdr:grpSp>
      <xdr:nvGrpSpPr>
        <xdr:cNvPr id="2" name="Group 1">
          <a:extLst>
            <a:ext uri="{FF2B5EF4-FFF2-40B4-BE49-F238E27FC236}">
              <a16:creationId xmlns:a16="http://schemas.microsoft.com/office/drawing/2014/main" id="{00000000-0008-0000-1F00-000002000000}"/>
            </a:ext>
          </a:extLst>
        </xdr:cNvPr>
        <xdr:cNvGrpSpPr/>
      </xdr:nvGrpSpPr>
      <xdr:grpSpPr>
        <a:xfrm>
          <a:off x="297179" y="9534634"/>
          <a:ext cx="16589285" cy="1312055"/>
          <a:chOff x="7620" y="7978140"/>
          <a:chExt cx="6560820" cy="1203960"/>
        </a:xfrm>
      </xdr:grpSpPr>
      <xdr:sp macro="" textlink="">
        <xdr:nvSpPr>
          <xdr:cNvPr id="3" name="TextBox 2">
            <a:extLst>
              <a:ext uri="{FF2B5EF4-FFF2-40B4-BE49-F238E27FC236}">
                <a16:creationId xmlns:a16="http://schemas.microsoft.com/office/drawing/2014/main" id="{00000000-0008-0000-1F00-000003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4" name="TextBox 3">
            <a:extLst>
              <a:ext uri="{FF2B5EF4-FFF2-40B4-BE49-F238E27FC236}">
                <a16:creationId xmlns:a16="http://schemas.microsoft.com/office/drawing/2014/main" id="{00000000-0008-0000-1F00-000004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5" name="TextBox 4">
            <a:extLst>
              <a:ext uri="{FF2B5EF4-FFF2-40B4-BE49-F238E27FC236}">
                <a16:creationId xmlns:a16="http://schemas.microsoft.com/office/drawing/2014/main" id="{00000000-0008-0000-1F00-000005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27</xdr:row>
      <xdr:rowOff>182880</xdr:rowOff>
    </xdr:from>
    <xdr:to>
      <xdr:col>7</xdr:col>
      <xdr:colOff>2598420</xdr:colOff>
      <xdr:row>36</xdr:row>
      <xdr:rowOff>38100</xdr:rowOff>
    </xdr:to>
    <xdr:grpSp>
      <xdr:nvGrpSpPr>
        <xdr:cNvPr id="6" name="Group 5">
          <a:extLst>
            <a:ext uri="{FF2B5EF4-FFF2-40B4-BE49-F238E27FC236}">
              <a16:creationId xmlns:a16="http://schemas.microsoft.com/office/drawing/2014/main" id="{00000000-0008-0000-2000-000006000000}"/>
            </a:ext>
          </a:extLst>
        </xdr:cNvPr>
        <xdr:cNvGrpSpPr/>
      </xdr:nvGrpSpPr>
      <xdr:grpSpPr>
        <a:xfrm>
          <a:off x="0" y="8014547"/>
          <a:ext cx="12652587" cy="1664970"/>
          <a:chOff x="7620" y="7978140"/>
          <a:chExt cx="6560820" cy="1203960"/>
        </a:xfrm>
      </xdr:grpSpPr>
      <xdr:sp macro="" textlink="">
        <xdr:nvSpPr>
          <xdr:cNvPr id="8" name="TextBox 7">
            <a:extLst>
              <a:ext uri="{FF2B5EF4-FFF2-40B4-BE49-F238E27FC236}">
                <a16:creationId xmlns:a16="http://schemas.microsoft.com/office/drawing/2014/main" id="{00000000-0008-0000-2000-000008000000}"/>
              </a:ext>
            </a:extLst>
          </xdr:cNvPr>
          <xdr:cNvSpPr txBox="1"/>
        </xdr:nvSpPr>
        <xdr:spPr>
          <a:xfrm>
            <a:off x="7620" y="799338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NGƯỜI</a:t>
            </a:r>
            <a:r>
              <a:rPr lang="en-US" sz="1400" b="1" baseline="0">
                <a:latin typeface="+mn-lt"/>
              </a:rPr>
              <a:t> LẬP</a:t>
            </a:r>
            <a:endParaRPr lang="en-US" sz="1400" b="1">
              <a:latin typeface="+mn-lt"/>
            </a:endParaRPr>
          </a:p>
        </xdr:txBody>
      </xdr:sp>
      <xdr:sp macro="" textlink="">
        <xdr:nvSpPr>
          <xdr:cNvPr id="9" name="TextBox 8">
            <a:extLst>
              <a:ext uri="{FF2B5EF4-FFF2-40B4-BE49-F238E27FC236}">
                <a16:creationId xmlns:a16="http://schemas.microsoft.com/office/drawing/2014/main" id="{00000000-0008-0000-2000-000009000000}"/>
              </a:ext>
            </a:extLst>
          </xdr:cNvPr>
          <xdr:cNvSpPr txBox="1"/>
        </xdr:nvSpPr>
        <xdr:spPr>
          <a:xfrm>
            <a:off x="2346960" y="798576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KIỂM</a:t>
            </a:r>
            <a:r>
              <a:rPr lang="en-US" sz="1400" b="1" baseline="0">
                <a:latin typeface="+mn-lt"/>
              </a:rPr>
              <a:t> TRA</a:t>
            </a:r>
            <a:endParaRPr lang="en-US" sz="1400" b="1">
              <a:latin typeface="+mn-lt"/>
            </a:endParaRPr>
          </a:p>
        </xdr:txBody>
      </xdr:sp>
      <xdr:sp macro="" textlink="">
        <xdr:nvSpPr>
          <xdr:cNvPr id="10" name="TextBox 9">
            <a:extLst>
              <a:ext uri="{FF2B5EF4-FFF2-40B4-BE49-F238E27FC236}">
                <a16:creationId xmlns:a16="http://schemas.microsoft.com/office/drawing/2014/main" id="{00000000-0008-0000-2000-00000A000000}"/>
              </a:ext>
            </a:extLst>
          </xdr:cNvPr>
          <xdr:cNvSpPr txBox="1"/>
        </xdr:nvSpPr>
        <xdr:spPr>
          <a:xfrm>
            <a:off x="4663440" y="7978140"/>
            <a:ext cx="190500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n-lt"/>
              </a:rPr>
              <a:t>PHÊ</a:t>
            </a:r>
            <a:r>
              <a:rPr lang="en-US" sz="1400" b="1" baseline="0">
                <a:latin typeface="+mn-lt"/>
              </a:rPr>
              <a:t> DUYỆT</a:t>
            </a:r>
            <a:endParaRPr lang="en-US" sz="1400" b="1">
              <a:latin typeface="+mn-lt"/>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Users\GC\Documents\Zalo%20Received%20Files\3.%20B&#7843;ng%20t&#7893;ng%20h&#7907;p%20s&#7889;%20li&#7879;u%20cho%20Ki&#7875;m%20k&#234;%20KNK%2017.02.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Users\GC\Documents\QT02BM01B&#7843;ng%20&#273;&#7883;nhluong%20Loai%20Kh&#23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ã nguồn phát thải 14064-1."/>
      <sheetName val=" 1.1.1 Dầu Do máy phát 2023"/>
      <sheetName val=" 1.1.1 Dầu Do máy phát 2024"/>
      <sheetName val="1.1.2 LPG sản xuất 2024"/>
      <sheetName val="1.1.2 LPG sản xuất 2023"/>
      <sheetName val="1.1.3 LPG NHÀ BẾP(2024)"/>
      <sheetName val="1.1.3 LPG nhà bếp (2023)"/>
      <sheetName val="1.1.5 Methanol 2023"/>
      <sheetName val="1.1.5 Methanol 2024"/>
      <sheetName val="1.1.6 Xăng(2023) "/>
      <sheetName val="1.1.6 Xăng(2024)"/>
      <sheetName val="1.1.7 Dầu hoả 2024"/>
      <sheetName val="1.1.7 Dầu hoả 2023"/>
      <sheetName val="1.1.8 Nước thủy tinh 2024"/>
      <sheetName val="1.1.8 Nước thủy tinh 2023"/>
      <sheetName val="1.1.9 Sơn khuôn BR-750 2024"/>
      <sheetName val="1.1.9 Sơn khuôn BR-750 2023"/>
      <sheetName val="SƠN THAO KOALID PASTE 94I (new)"/>
      <sheetName val="1.1.10 Sơnkhuôn Sepanol 88 2024"/>
      <sheetName val="1.1.10 Sơnkhuôn Sepanol 88 2023"/>
      <sheetName val="1.1.11 Cồn công nghiệp 2024(cũ)"/>
      <sheetName val="1.1.11 Cồn công nghiệp 2024 sửa"/>
      <sheetName val="1.1.11 Cồn công nghiệp 2023(cũ)"/>
      <sheetName val="1.1.11 Cồn công nghiệp 2023 sửa"/>
      <sheetName val="1.1.12-CO2 kết dính thao 2024"/>
      <sheetName val="1.1.12-CO2 kết dính thao 2023"/>
      <sheetName val="1.2.1 DO cho VC nội bộ 2023"/>
      <sheetName val="1.2.1 DO cho VC nội bộ 2024"/>
      <sheetName val="1.3.1 DO cho VC bên ngoài 2024"/>
      <sheetName val="1.3.1 DO cho VC bên ngoài 2023"/>
      <sheetName val="1.3.2 Xăng cho VC bên ngoài 24"/>
      <sheetName val="1.3.2 Xăng cho VC bên ngoài 23"/>
      <sheetName val="Theo dõi  (2)"/>
      <sheetName val="1.4-Bình CO2 cứu hỏa(2024)"/>
      <sheetName val="1.4-Bình CO2 cứu hỏa(2023)"/>
      <sheetName val="Sheet2"/>
      <sheetName val="Sheet3"/>
      <sheetName val="Sheet4"/>
      <sheetName val="Sheet1"/>
      <sheetName val="Tổng hợp MCL 2023"/>
      <sheetName val="Môi chất lạnh 2023 Checke"/>
      <sheetName val="Môi chất lạnh 2023"/>
      <sheetName val="Môi chất lạnh 2024 Checke"/>
      <sheetName val="Môi chất lạnh 2024 "/>
      <sheetName val="1.6. Dữ liệu thống kê chấm công"/>
      <sheetName val="Giờ công 2023"/>
      <sheetName val="Giờ công 2024."/>
      <sheetName val="1.7-Xử lý nước thải 2023"/>
      <sheetName val="1.7-Xử lý nước thải 2024"/>
      <sheetName val="1.8-Hóa chất XLNT 2023"/>
      <sheetName val="1.8-Hóa chất XLNT 2024"/>
      <sheetName val="1.9. THONG KE CÂY XANH"/>
      <sheetName val="1.10. THỐNG KÊ PHÂN BÓN(2023)"/>
      <sheetName val="1.10. THỐNG KÊ PHÂN BÓN (2024)"/>
      <sheetName val="2.1 Điện mua ngoài 2023"/>
      <sheetName val="2.1 Điện mua ngoài 2024 "/>
      <sheetName val="B2.TH Hệ số PT KNK (2)"/>
      <sheetName val="Cat 4.DLHĐ Nhà cung cấp NLVL.23"/>
      <sheetName val="B3.TH DLHĐ Nhà cung cấp NLVL.24"/>
      <sheetName val="B3. Nhà cung cấp NLV-24 mới "/>
      <sheetName val="3.5.VẬN CHUYỂN CHẤT THẢI 2023"/>
      <sheetName val="B4.VẬN CHUYỂN CHẤT THẢI 2024"/>
      <sheetName val="B5.VẬN TẢI ĐẾN CÔNG TY (2023)"/>
      <sheetName val="B5.VẬN TẢI ĐẾN CÔNG TY (N-24)"/>
      <sheetName val="3.4.VẬN TẢI TỪ CÔNG TY ĐI 2023"/>
      <sheetName val="B6.VẬN TẢI TỪ CÔNG TY ĐI 2024"/>
      <sheetName val="B7Bảng khảo sát đi lại CBCNV 23"/>
      <sheetName val="B7Bảng khảo sát đi lại CBCNV 24"/>
      <sheetName val="B8 Bảng thống kê dv công tác"/>
      <sheetName val="B9 Bảng thống kê PT đi công tác"/>
      <sheetName val="B10 Loại phương tiện P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ow r="24">
          <cell r="F24">
            <v>137384</v>
          </cell>
          <cell r="I24">
            <v>85904</v>
          </cell>
          <cell r="L24">
            <v>135868</v>
          </cell>
          <cell r="O24">
            <v>127516</v>
          </cell>
          <cell r="R24">
            <v>151236</v>
          </cell>
          <cell r="U24">
            <v>124548</v>
          </cell>
          <cell r="X24">
            <v>161844</v>
          </cell>
          <cell r="AA24">
            <v>155360</v>
          </cell>
          <cell r="AD24">
            <v>131428</v>
          </cell>
          <cell r="AG24">
            <v>156484</v>
          </cell>
          <cell r="AJ24">
            <v>147564</v>
          </cell>
          <cell r="AM24">
            <v>151644</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ảng SP"/>
    </sheetNames>
    <sheetDataSet>
      <sheetData sheetId="0"/>
      <sheetData sheetId="1">
        <row r="8">
          <cell r="C8">
            <v>25471.498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9"/>
  <sheetViews>
    <sheetView zoomScale="78" zoomScaleNormal="78" workbookViewId="0">
      <pane ySplit="1" topLeftCell="A29" activePane="bottomLeft" state="frozen"/>
      <selection pane="bottomLeft" activeCell="I33" sqref="I33"/>
    </sheetView>
  </sheetViews>
  <sheetFormatPr defaultColWidth="8.85546875" defaultRowHeight="15"/>
  <cols>
    <col min="1" max="1" width="7" style="278" customWidth="1"/>
    <col min="2" max="2" width="15.42578125" style="288" customWidth="1"/>
    <col min="3" max="3" width="39" style="288" customWidth="1"/>
    <col min="4" max="4" width="23.140625" style="288" customWidth="1"/>
    <col min="5" max="5" width="19.5703125" style="288" customWidth="1"/>
    <col min="6" max="6" width="28" style="288" customWidth="1"/>
    <col min="7" max="16384" width="8.85546875" style="278"/>
  </cols>
  <sheetData>
    <row r="1" spans="1:6" s="540" customFormat="1" ht="72" customHeight="1">
      <c r="A1" s="687"/>
      <c r="B1" s="688"/>
      <c r="C1" s="689" t="s">
        <v>0</v>
      </c>
      <c r="D1" s="690"/>
      <c r="E1" s="691"/>
      <c r="F1" s="541" t="s">
        <v>1</v>
      </c>
    </row>
    <row r="2" spans="1:6" ht="81">
      <c r="A2" s="354" t="s">
        <v>2</v>
      </c>
      <c r="B2" s="354" t="s">
        <v>3</v>
      </c>
      <c r="C2" s="354" t="s">
        <v>4</v>
      </c>
      <c r="D2" s="354" t="s">
        <v>5</v>
      </c>
      <c r="E2" s="354" t="s">
        <v>6</v>
      </c>
      <c r="F2" s="354" t="s">
        <v>7</v>
      </c>
    </row>
    <row r="3" spans="1:6" ht="24.75" customHeight="1">
      <c r="A3" s="542" t="s">
        <v>8</v>
      </c>
      <c r="B3" s="543" t="s">
        <v>9</v>
      </c>
      <c r="C3" s="544" t="s">
        <v>10</v>
      </c>
      <c r="D3" s="544"/>
      <c r="E3" s="544"/>
      <c r="F3" s="544"/>
    </row>
    <row r="4" spans="1:6" s="239" customFormat="1" ht="24.75" customHeight="1">
      <c r="A4" s="545">
        <v>1</v>
      </c>
      <c r="B4" s="355" t="s">
        <v>11</v>
      </c>
      <c r="C4" s="546" t="s">
        <v>12</v>
      </c>
      <c r="D4" s="546"/>
      <c r="E4" s="546"/>
      <c r="F4" s="546"/>
    </row>
    <row r="5" spans="1:6" ht="24.75" customHeight="1">
      <c r="A5" s="547">
        <f>+A4+1</f>
        <v>2</v>
      </c>
      <c r="B5" s="548" t="s">
        <v>13</v>
      </c>
      <c r="C5" s="549" t="s">
        <v>14</v>
      </c>
      <c r="D5" s="548" t="s">
        <v>15</v>
      </c>
      <c r="E5" s="548" t="s">
        <v>16</v>
      </c>
      <c r="F5" s="550" t="s">
        <v>17</v>
      </c>
    </row>
    <row r="6" spans="1:6" ht="24.75" customHeight="1">
      <c r="A6" s="547">
        <f t="shared" ref="A6:A25" si="0">+A5+1</f>
        <v>3</v>
      </c>
      <c r="B6" s="548" t="s">
        <v>18</v>
      </c>
      <c r="C6" s="549" t="s">
        <v>19</v>
      </c>
      <c r="D6" s="548" t="s">
        <v>15</v>
      </c>
      <c r="E6" s="548" t="s">
        <v>16</v>
      </c>
      <c r="F6" s="550" t="s">
        <v>17</v>
      </c>
    </row>
    <row r="7" spans="1:6" ht="24.75" customHeight="1">
      <c r="A7" s="547">
        <f t="shared" si="0"/>
        <v>4</v>
      </c>
      <c r="B7" s="548" t="s">
        <v>20</v>
      </c>
      <c r="C7" s="549" t="s">
        <v>21</v>
      </c>
      <c r="D7" s="548" t="s">
        <v>15</v>
      </c>
      <c r="E7" s="548" t="s">
        <v>16</v>
      </c>
      <c r="F7" s="550" t="s">
        <v>17</v>
      </c>
    </row>
    <row r="8" spans="1:6" ht="24.75" customHeight="1">
      <c r="A8" s="547">
        <f t="shared" si="0"/>
        <v>5</v>
      </c>
      <c r="B8" s="548" t="s">
        <v>22</v>
      </c>
      <c r="C8" s="549" t="s">
        <v>23</v>
      </c>
      <c r="D8" s="548" t="s">
        <v>24</v>
      </c>
      <c r="E8" s="548" t="s">
        <v>16</v>
      </c>
      <c r="F8" s="550" t="s">
        <v>17</v>
      </c>
    </row>
    <row r="9" spans="1:6" ht="24.75" customHeight="1">
      <c r="A9" s="547">
        <f t="shared" si="0"/>
        <v>6</v>
      </c>
      <c r="B9" s="548" t="s">
        <v>25</v>
      </c>
      <c r="C9" s="549" t="s">
        <v>26</v>
      </c>
      <c r="D9" s="548" t="s">
        <v>15</v>
      </c>
      <c r="E9" s="548" t="s">
        <v>16</v>
      </c>
      <c r="F9" s="550" t="s">
        <v>17</v>
      </c>
    </row>
    <row r="10" spans="1:6" ht="24.75" customHeight="1">
      <c r="A10" s="547">
        <f t="shared" si="0"/>
        <v>7</v>
      </c>
      <c r="B10" s="548" t="s">
        <v>27</v>
      </c>
      <c r="C10" s="549" t="s">
        <v>28</v>
      </c>
      <c r="D10" s="548" t="s">
        <v>15</v>
      </c>
      <c r="E10" s="548" t="s">
        <v>16</v>
      </c>
      <c r="F10" s="550" t="s">
        <v>17</v>
      </c>
    </row>
    <row r="11" spans="1:6" ht="24.75" customHeight="1">
      <c r="A11" s="547">
        <f t="shared" si="0"/>
        <v>8</v>
      </c>
      <c r="B11" s="548" t="s">
        <v>29</v>
      </c>
      <c r="C11" s="549" t="s">
        <v>30</v>
      </c>
      <c r="D11" s="548" t="s">
        <v>24</v>
      </c>
      <c r="E11" s="548" t="s">
        <v>16</v>
      </c>
      <c r="F11" s="550" t="s">
        <v>17</v>
      </c>
    </row>
    <row r="12" spans="1:6" ht="24.75" customHeight="1">
      <c r="A12" s="547">
        <f t="shared" si="0"/>
        <v>9</v>
      </c>
      <c r="B12" s="548" t="s">
        <v>31</v>
      </c>
      <c r="C12" s="549" t="s">
        <v>32</v>
      </c>
      <c r="D12" s="548" t="s">
        <v>24</v>
      </c>
      <c r="E12" s="548" t="s">
        <v>16</v>
      </c>
      <c r="F12" s="550" t="s">
        <v>17</v>
      </c>
    </row>
    <row r="13" spans="1:6" ht="24.75" customHeight="1">
      <c r="A13" s="547">
        <f t="shared" si="0"/>
        <v>10</v>
      </c>
      <c r="B13" s="548" t="s">
        <v>33</v>
      </c>
      <c r="C13" s="549" t="s">
        <v>34</v>
      </c>
      <c r="D13" s="548" t="s">
        <v>24</v>
      </c>
      <c r="E13" s="548" t="s">
        <v>16</v>
      </c>
      <c r="F13" s="550" t="s">
        <v>17</v>
      </c>
    </row>
    <row r="14" spans="1:6" ht="24.75" customHeight="1">
      <c r="A14" s="547">
        <f t="shared" si="0"/>
        <v>11</v>
      </c>
      <c r="B14" s="548" t="s">
        <v>35</v>
      </c>
      <c r="C14" s="549" t="s">
        <v>36</v>
      </c>
      <c r="D14" s="548" t="s">
        <v>24</v>
      </c>
      <c r="E14" s="548" t="s">
        <v>16</v>
      </c>
      <c r="F14" s="550" t="s">
        <v>17</v>
      </c>
    </row>
    <row r="15" spans="1:6" ht="24.75" customHeight="1">
      <c r="A15" s="547">
        <f t="shared" si="0"/>
        <v>12</v>
      </c>
      <c r="B15" s="548" t="s">
        <v>37</v>
      </c>
      <c r="C15" s="549" t="s">
        <v>38</v>
      </c>
      <c r="D15" s="548" t="s">
        <v>24</v>
      </c>
      <c r="E15" s="548" t="s">
        <v>16</v>
      </c>
      <c r="F15" s="550" t="s">
        <v>17</v>
      </c>
    </row>
    <row r="16" spans="1:6" s="239" customFormat="1" ht="24.75" customHeight="1">
      <c r="A16" s="545">
        <f t="shared" si="0"/>
        <v>13</v>
      </c>
      <c r="B16" s="355" t="s">
        <v>39</v>
      </c>
      <c r="C16" s="546" t="s">
        <v>40</v>
      </c>
      <c r="D16" s="546"/>
      <c r="E16" s="546"/>
      <c r="F16" s="546"/>
    </row>
    <row r="17" spans="1:6" ht="24.75" customHeight="1">
      <c r="A17" s="547">
        <f t="shared" si="0"/>
        <v>14</v>
      </c>
      <c r="B17" s="548" t="s">
        <v>41</v>
      </c>
      <c r="C17" s="549" t="s">
        <v>14</v>
      </c>
      <c r="D17" s="548" t="s">
        <v>42</v>
      </c>
      <c r="E17" s="548" t="s">
        <v>16</v>
      </c>
      <c r="F17" s="550" t="s">
        <v>17</v>
      </c>
    </row>
    <row r="18" spans="1:6" ht="24.75" customHeight="1">
      <c r="A18" s="547">
        <f t="shared" si="0"/>
        <v>15</v>
      </c>
      <c r="B18" s="551" t="s">
        <v>43</v>
      </c>
      <c r="C18" s="552" t="s">
        <v>26</v>
      </c>
      <c r="D18" s="551" t="s">
        <v>42</v>
      </c>
      <c r="E18" s="551" t="s">
        <v>16</v>
      </c>
      <c r="F18" s="553" t="s">
        <v>17</v>
      </c>
    </row>
    <row r="19" spans="1:6" s="239" customFormat="1" ht="39" customHeight="1">
      <c r="A19" s="545">
        <v>16</v>
      </c>
      <c r="B19" s="355" t="s">
        <v>44</v>
      </c>
      <c r="C19" s="692" t="s">
        <v>45</v>
      </c>
      <c r="D19" s="693"/>
      <c r="E19" s="693"/>
      <c r="F19" s="694"/>
    </row>
    <row r="20" spans="1:6" ht="24.75" customHeight="1">
      <c r="A20" s="547">
        <f t="shared" si="0"/>
        <v>17</v>
      </c>
      <c r="B20" s="548" t="s">
        <v>46</v>
      </c>
      <c r="C20" s="549" t="s">
        <v>14</v>
      </c>
      <c r="D20" s="548" t="s">
        <v>42</v>
      </c>
      <c r="E20" s="548" t="s">
        <v>16</v>
      </c>
      <c r="F20" s="550" t="s">
        <v>17</v>
      </c>
    </row>
    <row r="21" spans="1:6" ht="24.75" customHeight="1">
      <c r="A21" s="547">
        <f t="shared" si="0"/>
        <v>18</v>
      </c>
      <c r="B21" s="548" t="s">
        <v>47</v>
      </c>
      <c r="C21" s="549" t="s">
        <v>26</v>
      </c>
      <c r="D21" s="548" t="s">
        <v>42</v>
      </c>
      <c r="E21" s="548" t="s">
        <v>16</v>
      </c>
      <c r="F21" s="550" t="s">
        <v>17</v>
      </c>
    </row>
    <row r="22" spans="1:6" ht="39" customHeight="1">
      <c r="A22" s="547">
        <f t="shared" si="0"/>
        <v>19</v>
      </c>
      <c r="B22" s="554" t="s">
        <v>48</v>
      </c>
      <c r="C22" s="555" t="s">
        <v>49</v>
      </c>
      <c r="D22" s="554" t="s">
        <v>24</v>
      </c>
      <c r="E22" s="554" t="s">
        <v>50</v>
      </c>
      <c r="F22" s="550" t="s">
        <v>17</v>
      </c>
    </row>
    <row r="23" spans="1:6" ht="33">
      <c r="A23" s="547">
        <f t="shared" si="0"/>
        <v>20</v>
      </c>
      <c r="B23" s="554" t="s">
        <v>51</v>
      </c>
      <c r="C23" s="555" t="s">
        <v>52</v>
      </c>
      <c r="D23" s="554" t="s">
        <v>53</v>
      </c>
      <c r="E23" s="554" t="s">
        <v>16</v>
      </c>
      <c r="F23" s="550" t="s">
        <v>17</v>
      </c>
    </row>
    <row r="24" spans="1:6" ht="28.5" customHeight="1">
      <c r="A24" s="547">
        <f t="shared" si="0"/>
        <v>21</v>
      </c>
      <c r="B24" s="554" t="s">
        <v>54</v>
      </c>
      <c r="C24" s="555" t="s">
        <v>55</v>
      </c>
      <c r="D24" s="554" t="s">
        <v>42</v>
      </c>
      <c r="E24" s="554" t="s">
        <v>16</v>
      </c>
      <c r="F24" s="550" t="s">
        <v>17</v>
      </c>
    </row>
    <row r="25" spans="1:6" ht="45" customHeight="1">
      <c r="A25" s="547">
        <f t="shared" si="0"/>
        <v>22</v>
      </c>
      <c r="B25" s="554" t="s">
        <v>56</v>
      </c>
      <c r="C25" s="555" t="s">
        <v>57</v>
      </c>
      <c r="D25" s="554" t="s">
        <v>42</v>
      </c>
      <c r="E25" s="554" t="s">
        <v>50</v>
      </c>
      <c r="F25" s="550" t="s">
        <v>17</v>
      </c>
    </row>
    <row r="26" spans="1:6" ht="26.25" customHeight="1">
      <c r="A26" s="556">
        <v>23</v>
      </c>
      <c r="B26" s="557" t="s">
        <v>58</v>
      </c>
      <c r="C26" s="558" t="s">
        <v>59</v>
      </c>
      <c r="D26" s="557" t="s">
        <v>24</v>
      </c>
      <c r="E26" s="557" t="s">
        <v>16</v>
      </c>
      <c r="F26" s="559" t="s">
        <v>17</v>
      </c>
    </row>
    <row r="27" spans="1:6" ht="33">
      <c r="A27" s="542" t="s">
        <v>60</v>
      </c>
      <c r="B27" s="543" t="s">
        <v>61</v>
      </c>
      <c r="C27" s="544" t="s">
        <v>62</v>
      </c>
      <c r="D27" s="544"/>
      <c r="E27" s="544"/>
      <c r="F27" s="544"/>
    </row>
    <row r="28" spans="1:6" ht="33">
      <c r="A28" s="547">
        <v>24</v>
      </c>
      <c r="B28" s="548" t="s">
        <v>63</v>
      </c>
      <c r="C28" s="549" t="s">
        <v>64</v>
      </c>
      <c r="D28" s="548" t="s">
        <v>65</v>
      </c>
      <c r="E28" s="548" t="s">
        <v>16</v>
      </c>
      <c r="F28" s="550" t="s">
        <v>17</v>
      </c>
    </row>
    <row r="29" spans="1:6" ht="33">
      <c r="A29" s="542" t="s">
        <v>66</v>
      </c>
      <c r="B29" s="543" t="s">
        <v>67</v>
      </c>
      <c r="C29" s="544" t="s">
        <v>68</v>
      </c>
      <c r="D29" s="544"/>
      <c r="E29" s="544"/>
      <c r="F29" s="544"/>
    </row>
    <row r="30" spans="1:6" ht="49.5">
      <c r="A30" s="547">
        <v>25</v>
      </c>
      <c r="B30" s="548" t="s">
        <v>69</v>
      </c>
      <c r="C30" s="549" t="s">
        <v>70</v>
      </c>
      <c r="D30" s="548" t="s">
        <v>15</v>
      </c>
      <c r="E30" s="548" t="s">
        <v>16</v>
      </c>
      <c r="F30" s="550" t="s">
        <v>17</v>
      </c>
    </row>
    <row r="31" spans="1:6" ht="66">
      <c r="A31" s="547">
        <f>+A30+1</f>
        <v>26</v>
      </c>
      <c r="B31" s="548" t="s">
        <v>71</v>
      </c>
      <c r="C31" s="549" t="s">
        <v>72</v>
      </c>
      <c r="D31" s="548" t="s">
        <v>15</v>
      </c>
      <c r="E31" s="548" t="s">
        <v>16</v>
      </c>
      <c r="F31" s="550" t="s">
        <v>17</v>
      </c>
    </row>
    <row r="32" spans="1:6" ht="49.5">
      <c r="A32" s="547">
        <f t="shared" ref="A32:A37" si="1">+A31+1</f>
        <v>27</v>
      </c>
      <c r="B32" s="548" t="s">
        <v>73</v>
      </c>
      <c r="C32" s="549" t="s">
        <v>74</v>
      </c>
      <c r="D32" s="548" t="s">
        <v>15</v>
      </c>
      <c r="E32" s="548" t="s">
        <v>16</v>
      </c>
      <c r="F32" s="550" t="s">
        <v>17</v>
      </c>
    </row>
    <row r="33" spans="1:6" ht="49.5">
      <c r="A33" s="547">
        <f t="shared" si="1"/>
        <v>28</v>
      </c>
      <c r="B33" s="548" t="s">
        <v>75</v>
      </c>
      <c r="C33" s="549" t="s">
        <v>76</v>
      </c>
      <c r="D33" s="548" t="s">
        <v>15</v>
      </c>
      <c r="E33" s="548" t="s">
        <v>16</v>
      </c>
      <c r="F33" s="550" t="s">
        <v>17</v>
      </c>
    </row>
    <row r="34" spans="1:6" ht="49.5">
      <c r="A34" s="547">
        <f t="shared" si="1"/>
        <v>29</v>
      </c>
      <c r="B34" s="548" t="s">
        <v>77</v>
      </c>
      <c r="C34" s="549" t="s">
        <v>78</v>
      </c>
      <c r="D34" s="548" t="s">
        <v>15</v>
      </c>
      <c r="E34" s="548" t="s">
        <v>16</v>
      </c>
      <c r="F34" s="550" t="s">
        <v>17</v>
      </c>
    </row>
    <row r="35" spans="1:6" ht="33">
      <c r="A35" s="547">
        <f t="shared" si="1"/>
        <v>30</v>
      </c>
      <c r="B35" s="548" t="s">
        <v>79</v>
      </c>
      <c r="C35" s="549" t="s">
        <v>80</v>
      </c>
      <c r="D35" s="548" t="s">
        <v>15</v>
      </c>
      <c r="E35" s="548" t="s">
        <v>16</v>
      </c>
      <c r="F35" s="550" t="s">
        <v>17</v>
      </c>
    </row>
    <row r="36" spans="1:6" ht="49.5">
      <c r="A36" s="547">
        <f t="shared" si="1"/>
        <v>31</v>
      </c>
      <c r="B36" s="548" t="s">
        <v>81</v>
      </c>
      <c r="C36" s="549" t="s">
        <v>82</v>
      </c>
      <c r="D36" s="548" t="s">
        <v>15</v>
      </c>
      <c r="E36" s="548" t="s">
        <v>16</v>
      </c>
      <c r="F36" s="550" t="s">
        <v>17</v>
      </c>
    </row>
    <row r="37" spans="1:6" ht="49.5">
      <c r="A37" s="547">
        <f t="shared" si="1"/>
        <v>32</v>
      </c>
      <c r="B37" s="548" t="s">
        <v>83</v>
      </c>
      <c r="C37" s="549" t="s">
        <v>84</v>
      </c>
      <c r="D37" s="548" t="s">
        <v>15</v>
      </c>
      <c r="E37" s="548" t="s">
        <v>16</v>
      </c>
      <c r="F37" s="550" t="s">
        <v>85</v>
      </c>
    </row>
    <row r="38" spans="1:6" ht="33">
      <c r="A38" s="542" t="s">
        <v>86</v>
      </c>
      <c r="B38" s="543" t="s">
        <v>87</v>
      </c>
      <c r="C38" s="544" t="s">
        <v>88</v>
      </c>
      <c r="D38" s="544"/>
      <c r="E38" s="544"/>
      <c r="F38" s="544"/>
    </row>
    <row r="39" spans="1:6" ht="16.5">
      <c r="A39" s="519" t="s">
        <v>89</v>
      </c>
      <c r="B39" s="519" t="s">
        <v>90</v>
      </c>
      <c r="C39" s="529" t="s">
        <v>91</v>
      </c>
      <c r="D39" s="529"/>
      <c r="E39" s="529"/>
      <c r="F39" s="529"/>
    </row>
    <row r="40" spans="1:6" ht="33">
      <c r="A40" s="547">
        <v>33</v>
      </c>
      <c r="B40" s="548" t="s">
        <v>92</v>
      </c>
      <c r="C40" s="549" t="s">
        <v>93</v>
      </c>
      <c r="D40" s="548" t="s">
        <v>65</v>
      </c>
      <c r="E40" s="548" t="s">
        <v>16</v>
      </c>
      <c r="F40" s="550" t="s">
        <v>85</v>
      </c>
    </row>
    <row r="41" spans="1:6" ht="16.5">
      <c r="A41" s="547">
        <v>34</v>
      </c>
      <c r="B41" s="548" t="s">
        <v>94</v>
      </c>
      <c r="C41" s="549" t="s">
        <v>95</v>
      </c>
      <c r="D41" s="548" t="s">
        <v>65</v>
      </c>
      <c r="E41" s="548" t="s">
        <v>16</v>
      </c>
      <c r="F41" s="550" t="s">
        <v>85</v>
      </c>
    </row>
    <row r="42" spans="1:6" ht="16.5">
      <c r="A42" s="519" t="s">
        <v>96</v>
      </c>
      <c r="B42" s="519" t="s">
        <v>97</v>
      </c>
      <c r="C42" s="529" t="s">
        <v>98</v>
      </c>
      <c r="D42" s="529"/>
      <c r="E42" s="529"/>
      <c r="F42" s="529"/>
    </row>
    <row r="43" spans="1:6" ht="16.5">
      <c r="A43" s="547">
        <v>35</v>
      </c>
      <c r="B43" s="548" t="s">
        <v>99</v>
      </c>
      <c r="C43" s="549" t="s">
        <v>100</v>
      </c>
      <c r="D43" s="548" t="s">
        <v>65</v>
      </c>
      <c r="E43" s="548" t="s">
        <v>16</v>
      </c>
      <c r="F43" s="550" t="s">
        <v>85</v>
      </c>
    </row>
    <row r="44" spans="1:6" ht="16.5">
      <c r="A44" s="547">
        <v>36</v>
      </c>
      <c r="B44" s="548" t="s">
        <v>101</v>
      </c>
      <c r="C44" s="549" t="s">
        <v>102</v>
      </c>
      <c r="D44" s="548" t="s">
        <v>65</v>
      </c>
      <c r="E44" s="548" t="s">
        <v>16</v>
      </c>
      <c r="F44" s="550" t="s">
        <v>85</v>
      </c>
    </row>
    <row r="45" spans="1:6" ht="16.5">
      <c r="A45" s="519" t="s">
        <v>103</v>
      </c>
      <c r="B45" s="519" t="s">
        <v>104</v>
      </c>
      <c r="C45" s="529" t="s">
        <v>105</v>
      </c>
      <c r="D45" s="529"/>
      <c r="E45" s="529"/>
      <c r="F45" s="529"/>
    </row>
    <row r="46" spans="1:6" ht="33">
      <c r="A46" s="547">
        <v>37</v>
      </c>
      <c r="B46" s="548" t="s">
        <v>106</v>
      </c>
      <c r="C46" s="549" t="s">
        <v>107</v>
      </c>
      <c r="D46" s="548" t="s">
        <v>65</v>
      </c>
      <c r="E46" s="548" t="s">
        <v>16</v>
      </c>
      <c r="F46" s="550" t="s">
        <v>85</v>
      </c>
    </row>
    <row r="47" spans="1:6" ht="33">
      <c r="A47" s="547">
        <v>38</v>
      </c>
      <c r="B47" s="548" t="s">
        <v>108</v>
      </c>
      <c r="C47" s="549" t="s">
        <v>109</v>
      </c>
      <c r="D47" s="548" t="s">
        <v>65</v>
      </c>
      <c r="E47" s="548" t="s">
        <v>16</v>
      </c>
      <c r="F47" s="550" t="s">
        <v>85</v>
      </c>
    </row>
    <row r="48" spans="1:6" ht="33">
      <c r="A48" s="547">
        <v>39</v>
      </c>
      <c r="B48" s="548" t="s">
        <v>110</v>
      </c>
      <c r="C48" s="549" t="s">
        <v>111</v>
      </c>
      <c r="D48" s="548" t="s">
        <v>65</v>
      </c>
      <c r="E48" s="548" t="s">
        <v>50</v>
      </c>
      <c r="F48" s="550" t="s">
        <v>85</v>
      </c>
    </row>
    <row r="49" spans="1:6" ht="33">
      <c r="A49" s="547">
        <v>40</v>
      </c>
      <c r="B49" s="548" t="s">
        <v>112</v>
      </c>
      <c r="C49" s="549" t="s">
        <v>113</v>
      </c>
      <c r="D49" s="548" t="s">
        <v>65</v>
      </c>
      <c r="E49" s="548" t="s">
        <v>16</v>
      </c>
      <c r="F49" s="550" t="s">
        <v>85</v>
      </c>
    </row>
    <row r="50" spans="1:6" ht="33">
      <c r="A50" s="547">
        <v>41</v>
      </c>
      <c r="B50" s="548" t="s">
        <v>114</v>
      </c>
      <c r="C50" s="549" t="s">
        <v>115</v>
      </c>
      <c r="D50" s="548" t="s">
        <v>65</v>
      </c>
      <c r="E50" s="548" t="s">
        <v>16</v>
      </c>
      <c r="F50" s="550" t="s">
        <v>85</v>
      </c>
    </row>
    <row r="51" spans="1:6" ht="33">
      <c r="A51" s="547">
        <v>42</v>
      </c>
      <c r="B51" s="548" t="s">
        <v>116</v>
      </c>
      <c r="C51" s="549" t="s">
        <v>117</v>
      </c>
      <c r="D51" s="548" t="s">
        <v>65</v>
      </c>
      <c r="E51" s="548" t="s">
        <v>16</v>
      </c>
      <c r="F51" s="550" t="s">
        <v>85</v>
      </c>
    </row>
    <row r="52" spans="1:6" ht="33">
      <c r="A52" s="547">
        <v>43</v>
      </c>
      <c r="B52" s="548" t="s">
        <v>118</v>
      </c>
      <c r="C52" s="549" t="s">
        <v>119</v>
      </c>
      <c r="D52" s="548" t="s">
        <v>65</v>
      </c>
      <c r="E52" s="548" t="s">
        <v>16</v>
      </c>
      <c r="F52" s="550" t="s">
        <v>85</v>
      </c>
    </row>
    <row r="53" spans="1:6" ht="33">
      <c r="A53" s="547">
        <v>44</v>
      </c>
      <c r="B53" s="548" t="s">
        <v>120</v>
      </c>
      <c r="C53" s="549" t="s">
        <v>121</v>
      </c>
      <c r="D53" s="548" t="s">
        <v>65</v>
      </c>
      <c r="E53" s="548" t="s">
        <v>50</v>
      </c>
      <c r="F53" s="550" t="s">
        <v>85</v>
      </c>
    </row>
    <row r="54" spans="1:6" ht="16.5">
      <c r="A54" s="519"/>
      <c r="B54" s="519" t="s">
        <v>122</v>
      </c>
      <c r="C54" s="529" t="s">
        <v>123</v>
      </c>
      <c r="D54" s="529"/>
      <c r="E54" s="529"/>
      <c r="F54" s="529"/>
    </row>
    <row r="55" spans="1:6" ht="16.5">
      <c r="A55" s="547">
        <v>45</v>
      </c>
      <c r="B55" s="548" t="s">
        <v>124</v>
      </c>
      <c r="C55" s="549" t="s">
        <v>125</v>
      </c>
      <c r="D55" s="548"/>
      <c r="E55" s="548" t="s">
        <v>126</v>
      </c>
      <c r="F55" s="550"/>
    </row>
    <row r="56" spans="1:6" ht="16.5">
      <c r="A56" s="547">
        <f>+A55+1</f>
        <v>46</v>
      </c>
      <c r="B56" s="548" t="s">
        <v>127</v>
      </c>
      <c r="C56" s="549" t="s">
        <v>128</v>
      </c>
      <c r="D56" s="548"/>
      <c r="E56" s="548" t="s">
        <v>126</v>
      </c>
      <c r="F56" s="550"/>
    </row>
    <row r="57" spans="1:6" ht="16.5">
      <c r="A57" s="547">
        <f>+A56+1</f>
        <v>47</v>
      </c>
      <c r="B57" s="548" t="s">
        <v>129</v>
      </c>
      <c r="C57" s="549" t="s">
        <v>130</v>
      </c>
      <c r="D57" s="548"/>
      <c r="E57" s="548" t="s">
        <v>126</v>
      </c>
      <c r="F57" s="550"/>
    </row>
    <row r="58" spans="1:6" ht="16.5">
      <c r="A58" s="547">
        <f>+A57+1</f>
        <v>48</v>
      </c>
      <c r="B58" s="548" t="s">
        <v>131</v>
      </c>
      <c r="C58" s="549" t="s">
        <v>131</v>
      </c>
      <c r="D58" s="548"/>
      <c r="F58" s="550"/>
    </row>
    <row r="59" spans="1:6" ht="16.5">
      <c r="A59" s="519"/>
      <c r="B59" s="519" t="s">
        <v>132</v>
      </c>
      <c r="C59" s="529" t="s">
        <v>133</v>
      </c>
      <c r="D59" s="560"/>
      <c r="E59" s="560"/>
      <c r="F59" s="560"/>
    </row>
    <row r="60" spans="1:6" ht="16.5">
      <c r="A60" s="547">
        <v>49</v>
      </c>
      <c r="B60" s="548" t="s">
        <v>134</v>
      </c>
      <c r="C60" s="549" t="s">
        <v>131</v>
      </c>
      <c r="D60" s="548" t="s">
        <v>65</v>
      </c>
      <c r="E60" s="561"/>
      <c r="F60" s="550" t="s">
        <v>85</v>
      </c>
    </row>
    <row r="61" spans="1:6" ht="16.5">
      <c r="A61" s="547">
        <v>50</v>
      </c>
      <c r="B61" s="548" t="s">
        <v>135</v>
      </c>
      <c r="C61" s="562" t="s">
        <v>131</v>
      </c>
      <c r="D61" s="548" t="s">
        <v>65</v>
      </c>
      <c r="E61" s="561"/>
      <c r="F61" s="550" t="s">
        <v>85</v>
      </c>
    </row>
    <row r="62" spans="1:6" ht="16.5">
      <c r="A62" s="519"/>
      <c r="B62" s="519" t="s">
        <v>136</v>
      </c>
      <c r="C62" s="529" t="s">
        <v>137</v>
      </c>
      <c r="D62" s="563"/>
      <c r="E62" s="563"/>
      <c r="F62" s="563"/>
    </row>
    <row r="63" spans="1:6" ht="16.5">
      <c r="A63" s="547">
        <v>51</v>
      </c>
      <c r="B63" s="548" t="s">
        <v>138</v>
      </c>
      <c r="C63" s="549" t="s">
        <v>139</v>
      </c>
      <c r="D63" s="548" t="s">
        <v>65</v>
      </c>
      <c r="E63" s="561"/>
      <c r="F63" s="550" t="s">
        <v>85</v>
      </c>
    </row>
    <row r="64" spans="1:6" ht="16.5">
      <c r="A64" s="547">
        <f>+A63+1</f>
        <v>52</v>
      </c>
      <c r="B64" s="548" t="s">
        <v>140</v>
      </c>
      <c r="C64" s="549" t="s">
        <v>141</v>
      </c>
      <c r="D64" s="548" t="s">
        <v>65</v>
      </c>
      <c r="E64" s="561"/>
      <c r="F64" s="550" t="s">
        <v>85</v>
      </c>
    </row>
    <row r="65" spans="1:6" ht="16.5">
      <c r="A65" s="547">
        <f t="shared" ref="A65:A71" si="2">+A64+1</f>
        <v>53</v>
      </c>
      <c r="B65" s="548" t="s">
        <v>142</v>
      </c>
      <c r="C65" s="549" t="s">
        <v>143</v>
      </c>
      <c r="D65" s="548" t="s">
        <v>65</v>
      </c>
      <c r="E65" s="561"/>
      <c r="F65" s="550" t="s">
        <v>85</v>
      </c>
    </row>
    <row r="66" spans="1:6" ht="16.5">
      <c r="A66" s="547">
        <f t="shared" si="2"/>
        <v>54</v>
      </c>
      <c r="B66" s="548" t="s">
        <v>144</v>
      </c>
      <c r="C66" s="549" t="s">
        <v>145</v>
      </c>
      <c r="D66" s="548" t="s">
        <v>65</v>
      </c>
      <c r="E66" s="561"/>
      <c r="F66" s="550" t="s">
        <v>85</v>
      </c>
    </row>
    <row r="67" spans="1:6" ht="16.5">
      <c r="A67" s="547">
        <f t="shared" si="2"/>
        <v>55</v>
      </c>
      <c r="B67" s="548" t="s">
        <v>146</v>
      </c>
      <c r="C67" s="549" t="s">
        <v>147</v>
      </c>
      <c r="D67" s="548" t="s">
        <v>65</v>
      </c>
      <c r="E67" s="561"/>
      <c r="F67" s="550" t="s">
        <v>85</v>
      </c>
    </row>
    <row r="68" spans="1:6" ht="16.5">
      <c r="A68" s="547">
        <f t="shared" si="2"/>
        <v>56</v>
      </c>
      <c r="B68" s="548" t="s">
        <v>148</v>
      </c>
      <c r="C68" s="549" t="s">
        <v>149</v>
      </c>
      <c r="D68" s="548" t="s">
        <v>65</v>
      </c>
      <c r="E68" s="561"/>
      <c r="F68" s="550" t="s">
        <v>85</v>
      </c>
    </row>
    <row r="69" spans="1:6" ht="16.5">
      <c r="A69" s="547">
        <f t="shared" si="2"/>
        <v>57</v>
      </c>
      <c r="B69" s="548" t="s">
        <v>150</v>
      </c>
      <c r="C69" s="549" t="s">
        <v>151</v>
      </c>
      <c r="D69" s="548" t="s">
        <v>65</v>
      </c>
      <c r="E69" s="561"/>
      <c r="F69" s="550" t="s">
        <v>85</v>
      </c>
    </row>
    <row r="70" spans="1:6" ht="16.5">
      <c r="A70" s="547">
        <f t="shared" si="2"/>
        <v>58</v>
      </c>
      <c r="B70" s="548" t="s">
        <v>152</v>
      </c>
      <c r="C70" s="549" t="s">
        <v>153</v>
      </c>
      <c r="D70" s="548" t="s">
        <v>65</v>
      </c>
      <c r="E70" s="561"/>
      <c r="F70" s="550" t="s">
        <v>85</v>
      </c>
    </row>
    <row r="71" spans="1:6" ht="16.5">
      <c r="A71" s="547">
        <f t="shared" si="2"/>
        <v>59</v>
      </c>
      <c r="B71" s="548" t="s">
        <v>154</v>
      </c>
      <c r="C71" s="549" t="s">
        <v>155</v>
      </c>
      <c r="D71" s="548" t="s">
        <v>65</v>
      </c>
      <c r="E71" s="561"/>
      <c r="F71" s="550" t="s">
        <v>85</v>
      </c>
    </row>
    <row r="72" spans="1:6" ht="16.5">
      <c r="A72" s="519"/>
      <c r="B72" s="519" t="s">
        <v>156</v>
      </c>
      <c r="C72" s="529" t="s">
        <v>157</v>
      </c>
      <c r="D72" s="529"/>
      <c r="E72" s="529"/>
      <c r="F72" s="529"/>
    </row>
    <row r="73" spans="1:6" ht="18">
      <c r="A73" s="547">
        <v>60</v>
      </c>
      <c r="B73" s="566" t="s">
        <v>158</v>
      </c>
      <c r="C73" s="564" t="s">
        <v>131</v>
      </c>
      <c r="D73" s="548" t="s">
        <v>65</v>
      </c>
      <c r="E73" s="561"/>
      <c r="F73" s="565" t="s">
        <v>85</v>
      </c>
    </row>
    <row r="74" spans="1:6" ht="18">
      <c r="A74" s="547">
        <v>61</v>
      </c>
      <c r="B74" s="566" t="s">
        <v>159</v>
      </c>
      <c r="C74" s="564" t="s">
        <v>131</v>
      </c>
      <c r="D74" s="548" t="s">
        <v>65</v>
      </c>
      <c r="E74" s="561"/>
      <c r="F74" s="565" t="s">
        <v>85</v>
      </c>
    </row>
    <row r="75" spans="1:6" ht="16.5">
      <c r="A75" s="519"/>
      <c r="B75" s="519" t="s">
        <v>160</v>
      </c>
      <c r="C75" s="529" t="s">
        <v>161</v>
      </c>
      <c r="D75" s="529"/>
      <c r="E75" s="529"/>
      <c r="F75" s="529"/>
    </row>
    <row r="76" spans="1:6" ht="33">
      <c r="A76" s="547">
        <v>62</v>
      </c>
      <c r="B76" s="548" t="s">
        <v>162</v>
      </c>
      <c r="C76" s="549" t="s">
        <v>163</v>
      </c>
      <c r="D76" s="548" t="s">
        <v>65</v>
      </c>
      <c r="E76" s="561"/>
      <c r="F76" s="550" t="s">
        <v>85</v>
      </c>
    </row>
    <row r="77" spans="1:6" ht="33">
      <c r="A77" s="547">
        <v>63</v>
      </c>
      <c r="B77" s="548" t="s">
        <v>164</v>
      </c>
      <c r="C77" s="549" t="s">
        <v>165</v>
      </c>
      <c r="D77" s="548" t="s">
        <v>65</v>
      </c>
      <c r="E77" s="561"/>
      <c r="F77" s="550" t="s">
        <v>85</v>
      </c>
    </row>
    <row r="78" spans="1:6" ht="16.5">
      <c r="A78" s="547">
        <f>+A77+1</f>
        <v>64</v>
      </c>
      <c r="B78" s="548" t="s">
        <v>131</v>
      </c>
      <c r="C78" s="549" t="s">
        <v>131</v>
      </c>
      <c r="D78" s="548" t="s">
        <v>65</v>
      </c>
      <c r="E78" s="561"/>
      <c r="F78" s="550" t="s">
        <v>85</v>
      </c>
    </row>
    <row r="79" spans="1:6" ht="16.5">
      <c r="A79" s="519"/>
      <c r="B79" s="519" t="s">
        <v>166</v>
      </c>
      <c r="C79" s="529" t="s">
        <v>167</v>
      </c>
      <c r="D79" s="529" t="s">
        <v>65</v>
      </c>
      <c r="E79" s="529"/>
      <c r="F79" s="529"/>
    </row>
    <row r="80" spans="1:6" ht="16.5">
      <c r="A80" s="547">
        <v>65</v>
      </c>
      <c r="B80" s="548" t="s">
        <v>168</v>
      </c>
      <c r="C80" s="549" t="s">
        <v>131</v>
      </c>
      <c r="D80" s="548" t="s">
        <v>65</v>
      </c>
      <c r="E80" s="561"/>
      <c r="F80" s="550" t="s">
        <v>85</v>
      </c>
    </row>
    <row r="81" spans="1:6" ht="16.5">
      <c r="A81" s="547">
        <v>66</v>
      </c>
      <c r="B81" s="548" t="s">
        <v>169</v>
      </c>
      <c r="C81" s="549" t="s">
        <v>131</v>
      </c>
      <c r="D81" s="548" t="s">
        <v>65</v>
      </c>
      <c r="E81" s="561"/>
      <c r="F81" s="550" t="s">
        <v>85</v>
      </c>
    </row>
    <row r="82" spans="1:6" ht="16.5">
      <c r="A82" s="519"/>
      <c r="B82" s="519" t="s">
        <v>170</v>
      </c>
      <c r="C82" s="529" t="s">
        <v>171</v>
      </c>
      <c r="D82" s="529" t="s">
        <v>65</v>
      </c>
      <c r="E82" s="529"/>
      <c r="F82" s="529"/>
    </row>
    <row r="83" spans="1:6" ht="16.5">
      <c r="A83" s="547">
        <v>67</v>
      </c>
      <c r="B83" s="548" t="s">
        <v>172</v>
      </c>
      <c r="C83" s="549" t="s">
        <v>131</v>
      </c>
      <c r="D83" s="548" t="s">
        <v>65</v>
      </c>
      <c r="E83" s="561"/>
      <c r="F83" s="550" t="s">
        <v>85</v>
      </c>
    </row>
    <row r="84" spans="1:6" ht="16.5">
      <c r="A84" s="547">
        <v>68</v>
      </c>
      <c r="B84" s="548" t="s">
        <v>173</v>
      </c>
      <c r="C84" s="549" t="s">
        <v>131</v>
      </c>
      <c r="D84" s="548" t="s">
        <v>65</v>
      </c>
      <c r="E84" s="561"/>
      <c r="F84" s="550" t="s">
        <v>85</v>
      </c>
    </row>
    <row r="85" spans="1:6" ht="16.5">
      <c r="A85" s="519"/>
      <c r="B85" s="519" t="s">
        <v>174</v>
      </c>
      <c r="C85" s="529" t="s">
        <v>175</v>
      </c>
      <c r="D85" s="529" t="s">
        <v>65</v>
      </c>
      <c r="E85" s="529"/>
      <c r="F85" s="529"/>
    </row>
    <row r="86" spans="1:6" ht="16.5">
      <c r="A86" s="547">
        <v>69</v>
      </c>
      <c r="B86" s="548" t="s">
        <v>176</v>
      </c>
      <c r="C86" s="549" t="s">
        <v>177</v>
      </c>
      <c r="D86" s="548" t="s">
        <v>65</v>
      </c>
      <c r="E86" s="561"/>
      <c r="F86" s="550" t="s">
        <v>85</v>
      </c>
    </row>
    <row r="87" spans="1:6" ht="16.5">
      <c r="A87" s="547">
        <f>+A86+1</f>
        <v>70</v>
      </c>
      <c r="B87" s="548" t="s">
        <v>178</v>
      </c>
      <c r="C87" s="549" t="s">
        <v>179</v>
      </c>
      <c r="D87" s="548" t="s">
        <v>65</v>
      </c>
      <c r="E87" s="561"/>
      <c r="F87" s="550" t="s">
        <v>85</v>
      </c>
    </row>
    <row r="88" spans="1:6" ht="16.5">
      <c r="A88" s="547">
        <f>+A87+1</f>
        <v>71</v>
      </c>
      <c r="B88" s="548" t="s">
        <v>180</v>
      </c>
      <c r="C88" s="549" t="s">
        <v>181</v>
      </c>
      <c r="D88" s="548" t="s">
        <v>65</v>
      </c>
      <c r="E88" s="561"/>
      <c r="F88" s="550" t="s">
        <v>85</v>
      </c>
    </row>
    <row r="89" spans="1:6" ht="16.5">
      <c r="A89" s="547">
        <f>+A88+1</f>
        <v>72</v>
      </c>
      <c r="B89" s="548" t="s">
        <v>182</v>
      </c>
      <c r="C89" s="549" t="s">
        <v>183</v>
      </c>
      <c r="D89" s="548" t="s">
        <v>65</v>
      </c>
      <c r="E89" s="561"/>
      <c r="F89" s="550" t="s">
        <v>85</v>
      </c>
    </row>
    <row r="90" spans="1:6" ht="16.5">
      <c r="A90" s="547">
        <f>+A89+1</f>
        <v>73</v>
      </c>
      <c r="B90" s="548" t="s">
        <v>184</v>
      </c>
      <c r="C90" s="549" t="s">
        <v>185</v>
      </c>
      <c r="D90" s="548" t="s">
        <v>65</v>
      </c>
      <c r="E90" s="561"/>
      <c r="F90" s="550" t="s">
        <v>85</v>
      </c>
    </row>
    <row r="91" spans="1:6" ht="16.5">
      <c r="A91" s="547">
        <f>+A90+1</f>
        <v>74</v>
      </c>
      <c r="B91" s="548" t="s">
        <v>131</v>
      </c>
      <c r="C91" s="549" t="s">
        <v>131</v>
      </c>
      <c r="D91" s="548"/>
      <c r="E91" s="561"/>
      <c r="F91" s="550"/>
    </row>
    <row r="92" spans="1:6" ht="33">
      <c r="A92" s="519"/>
      <c r="B92" s="519" t="s">
        <v>186</v>
      </c>
      <c r="C92" s="529" t="s">
        <v>187</v>
      </c>
      <c r="D92" s="529"/>
      <c r="E92" s="529"/>
      <c r="F92" s="529"/>
    </row>
    <row r="93" spans="1:6" ht="16.5">
      <c r="A93" s="547">
        <v>75</v>
      </c>
      <c r="B93" s="548" t="s">
        <v>188</v>
      </c>
      <c r="C93" s="549" t="s">
        <v>189</v>
      </c>
      <c r="D93" s="548" t="s">
        <v>65</v>
      </c>
      <c r="E93" s="561"/>
      <c r="F93" s="550" t="s">
        <v>85</v>
      </c>
    </row>
    <row r="94" spans="1:6" ht="16.5">
      <c r="A94" s="547">
        <f>+A93+1</f>
        <v>76</v>
      </c>
      <c r="B94" s="548" t="s">
        <v>190</v>
      </c>
      <c r="C94" s="549" t="s">
        <v>191</v>
      </c>
      <c r="D94" s="548" t="s">
        <v>65</v>
      </c>
      <c r="E94" s="561"/>
      <c r="F94" s="550" t="s">
        <v>85</v>
      </c>
    </row>
    <row r="95" spans="1:6" ht="16.5">
      <c r="A95" s="547">
        <f>+A94+1</f>
        <v>77</v>
      </c>
      <c r="B95" s="548" t="s">
        <v>131</v>
      </c>
      <c r="C95" s="549" t="s">
        <v>131</v>
      </c>
      <c r="D95" s="548" t="s">
        <v>65</v>
      </c>
      <c r="E95" s="561"/>
      <c r="F95" s="550" t="s">
        <v>85</v>
      </c>
    </row>
    <row r="96" spans="1:6" ht="33">
      <c r="A96" s="519"/>
      <c r="B96" s="519" t="s">
        <v>192</v>
      </c>
      <c r="C96" s="529" t="s">
        <v>193</v>
      </c>
      <c r="D96" s="529"/>
      <c r="E96" s="529"/>
      <c r="F96" s="529"/>
    </row>
    <row r="97" spans="1:6" ht="18">
      <c r="B97" s="566" t="s">
        <v>131</v>
      </c>
      <c r="C97" s="564" t="s">
        <v>131</v>
      </c>
      <c r="D97" s="548" t="s">
        <v>65</v>
      </c>
      <c r="E97" s="561"/>
      <c r="F97" s="550" t="s">
        <v>85</v>
      </c>
    </row>
    <row r="98" spans="1:6" ht="49.5">
      <c r="A98" s="519"/>
      <c r="B98" s="519" t="s">
        <v>194</v>
      </c>
      <c r="C98" s="529" t="s">
        <v>195</v>
      </c>
      <c r="D98" s="529"/>
      <c r="E98" s="529"/>
      <c r="F98" s="529"/>
    </row>
    <row r="99" spans="1:6" ht="18">
      <c r="B99" s="566" t="s">
        <v>131</v>
      </c>
      <c r="C99" s="564" t="s">
        <v>131</v>
      </c>
      <c r="D99" s="548" t="s">
        <v>65</v>
      </c>
      <c r="E99" s="561"/>
      <c r="F99" s="550" t="s">
        <v>85</v>
      </c>
    </row>
    <row r="100" spans="1:6" ht="66">
      <c r="A100" s="519"/>
      <c r="B100" s="519" t="s">
        <v>196</v>
      </c>
      <c r="C100" s="529" t="s">
        <v>197</v>
      </c>
      <c r="D100" s="529"/>
      <c r="E100" s="529"/>
      <c r="F100" s="529"/>
    </row>
    <row r="101" spans="1:6" ht="16.5">
      <c r="A101" s="547"/>
      <c r="B101" s="548" t="s">
        <v>198</v>
      </c>
      <c r="C101" s="549" t="s">
        <v>199</v>
      </c>
      <c r="D101" s="548" t="s">
        <v>65</v>
      </c>
      <c r="E101" s="561"/>
      <c r="F101" s="550" t="s">
        <v>85</v>
      </c>
    </row>
    <row r="102" spans="1:6" ht="16.5">
      <c r="A102" s="547"/>
      <c r="B102" s="548" t="s">
        <v>131</v>
      </c>
      <c r="C102" s="549" t="s">
        <v>131</v>
      </c>
      <c r="D102" s="548" t="s">
        <v>65</v>
      </c>
      <c r="E102" s="561"/>
      <c r="F102" s="550" t="s">
        <v>85</v>
      </c>
    </row>
    <row r="103" spans="1:6" ht="16.5">
      <c r="A103" s="519"/>
      <c r="B103" s="519" t="s">
        <v>200</v>
      </c>
      <c r="C103" s="529" t="s">
        <v>201</v>
      </c>
      <c r="D103" s="529"/>
      <c r="E103" s="529"/>
      <c r="F103" s="529"/>
    </row>
    <row r="104" spans="1:6" ht="18">
      <c r="B104" s="566" t="s">
        <v>131</v>
      </c>
      <c r="C104" s="564" t="s">
        <v>131</v>
      </c>
      <c r="D104" s="548" t="s">
        <v>65</v>
      </c>
      <c r="E104" s="561"/>
      <c r="F104" s="550" t="s">
        <v>85</v>
      </c>
    </row>
    <row r="105" spans="1:6" ht="99">
      <c r="A105" s="519"/>
      <c r="B105" s="519" t="s">
        <v>202</v>
      </c>
      <c r="C105" s="529" t="s">
        <v>203</v>
      </c>
      <c r="D105" s="529"/>
      <c r="E105" s="529"/>
      <c r="F105" s="529"/>
    </row>
    <row r="106" spans="1:6" ht="18">
      <c r="B106" s="566" t="s">
        <v>131</v>
      </c>
      <c r="C106" s="564" t="s">
        <v>131</v>
      </c>
      <c r="D106" s="548" t="s">
        <v>65</v>
      </c>
      <c r="E106" s="561"/>
      <c r="F106" s="550" t="s">
        <v>85</v>
      </c>
    </row>
    <row r="107" spans="1:6" ht="16.5">
      <c r="A107" s="519"/>
      <c r="B107" s="519" t="s">
        <v>204</v>
      </c>
      <c r="C107" s="529" t="s">
        <v>131</v>
      </c>
      <c r="D107" s="529"/>
      <c r="E107" s="529"/>
      <c r="F107" s="529"/>
    </row>
    <row r="108" spans="1:6" ht="49.5">
      <c r="A108" s="542" t="s">
        <v>205</v>
      </c>
      <c r="B108" s="543" t="s">
        <v>206</v>
      </c>
      <c r="C108" s="544" t="s">
        <v>207</v>
      </c>
      <c r="D108" s="544"/>
      <c r="E108" s="544"/>
      <c r="F108" s="544"/>
    </row>
    <row r="109" spans="1:6" ht="49.5">
      <c r="A109" s="547"/>
      <c r="B109" s="548" t="s">
        <v>208</v>
      </c>
      <c r="C109" s="549" t="s">
        <v>209</v>
      </c>
      <c r="D109" s="548" t="s">
        <v>65</v>
      </c>
      <c r="E109" s="561"/>
      <c r="F109" s="550" t="s">
        <v>85</v>
      </c>
    </row>
  </sheetData>
  <mergeCells count="3">
    <mergeCell ref="A1:B1"/>
    <mergeCell ref="C1:E1"/>
    <mergeCell ref="C19:F19"/>
  </mergeCells>
  <pageMargins left="0.78740157480314998" right="0.59055118110236204" top="0.78740157480314998" bottom="0.78740157480314998" header="0" footer="0"/>
  <pageSetup paperSize="9"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08"/>
  <sheetViews>
    <sheetView zoomScale="80" zoomScaleNormal="80" workbookViewId="0">
      <pane ySplit="1" topLeftCell="A107" activePane="bottomLeft" state="frozen"/>
      <selection pane="bottomLeft" activeCell="B5" sqref="B5:C14"/>
    </sheetView>
  </sheetViews>
  <sheetFormatPr defaultColWidth="8.85546875" defaultRowHeight="15"/>
  <cols>
    <col min="1" max="1" width="7" style="532" customWidth="1"/>
    <col min="2" max="2" width="15.5703125" style="533" customWidth="1"/>
    <col min="3" max="3" width="39.5703125" style="533" customWidth="1"/>
    <col min="4" max="4" width="23.140625" style="533" customWidth="1"/>
    <col min="5" max="5" width="18.85546875" style="533" customWidth="1"/>
    <col min="6" max="6" width="27" style="533" customWidth="1"/>
    <col min="7" max="16384" width="8.85546875" style="534"/>
  </cols>
  <sheetData>
    <row r="1" spans="1:6" s="531" customFormat="1" ht="72" customHeight="1">
      <c r="A1" s="695"/>
      <c r="B1" s="695"/>
      <c r="C1" s="696" t="s">
        <v>210</v>
      </c>
      <c r="D1" s="697"/>
      <c r="E1" s="698"/>
      <c r="F1" s="535" t="s">
        <v>1102</v>
      </c>
    </row>
    <row r="2" spans="1:6" ht="78" customHeight="1">
      <c r="A2" s="21" t="s">
        <v>2</v>
      </c>
      <c r="B2" s="21" t="s">
        <v>211</v>
      </c>
      <c r="C2" s="21" t="s">
        <v>212</v>
      </c>
      <c r="D2" s="21" t="s">
        <v>5</v>
      </c>
      <c r="E2" s="21" t="s">
        <v>213</v>
      </c>
      <c r="F2" s="21" t="s">
        <v>7</v>
      </c>
    </row>
    <row r="3" spans="1:6" ht="33" customHeight="1">
      <c r="A3" s="46" t="s">
        <v>8</v>
      </c>
      <c r="B3" s="28" t="s">
        <v>9</v>
      </c>
      <c r="C3" s="505" t="s">
        <v>10</v>
      </c>
      <c r="D3" s="505"/>
      <c r="E3" s="505"/>
      <c r="F3" s="505"/>
    </row>
    <row r="4" spans="1:6" s="532" customFormat="1" ht="24.75" customHeight="1">
      <c r="A4" s="177"/>
      <c r="B4" s="28" t="s">
        <v>11</v>
      </c>
      <c r="C4" s="44" t="s">
        <v>12</v>
      </c>
      <c r="D4" s="44"/>
      <c r="E4" s="44"/>
      <c r="F4" s="44"/>
    </row>
    <row r="5" spans="1:6" ht="24.75" customHeight="1">
      <c r="A5" s="177">
        <f>+A4+1</f>
        <v>1</v>
      </c>
      <c r="B5" s="30" t="s">
        <v>13</v>
      </c>
      <c r="C5" s="204" t="s">
        <v>450</v>
      </c>
      <c r="D5" s="30" t="s">
        <v>15</v>
      </c>
      <c r="E5" s="30" t="s">
        <v>16</v>
      </c>
      <c r="F5" s="536" t="s">
        <v>17</v>
      </c>
    </row>
    <row r="6" spans="1:6" ht="24.75" customHeight="1">
      <c r="A6" s="177">
        <f t="shared" ref="A6:A14" si="0">+A5+1</f>
        <v>2</v>
      </c>
      <c r="B6" s="30" t="s">
        <v>18</v>
      </c>
      <c r="C6" s="204" t="s">
        <v>19</v>
      </c>
      <c r="D6" s="30" t="s">
        <v>15</v>
      </c>
      <c r="E6" s="30" t="s">
        <v>16</v>
      </c>
      <c r="F6" s="536" t="s">
        <v>17</v>
      </c>
    </row>
    <row r="7" spans="1:6" ht="24.75" customHeight="1">
      <c r="A7" s="177">
        <f t="shared" si="0"/>
        <v>3</v>
      </c>
      <c r="B7" s="30" t="s">
        <v>20</v>
      </c>
      <c r="C7" s="204" t="s">
        <v>21</v>
      </c>
      <c r="D7" s="30" t="s">
        <v>15</v>
      </c>
      <c r="E7" s="30" t="s">
        <v>16</v>
      </c>
      <c r="F7" s="536" t="s">
        <v>17</v>
      </c>
    </row>
    <row r="8" spans="1:6" ht="24.75" customHeight="1">
      <c r="A8" s="177">
        <f t="shared" si="0"/>
        <v>4</v>
      </c>
      <c r="B8" s="30" t="s">
        <v>22</v>
      </c>
      <c r="C8" s="204" t="s">
        <v>23</v>
      </c>
      <c r="D8" s="30" t="s">
        <v>24</v>
      </c>
      <c r="E8" s="30" t="s">
        <v>16</v>
      </c>
      <c r="F8" s="536" t="s">
        <v>17</v>
      </c>
    </row>
    <row r="9" spans="1:6" ht="24.75" customHeight="1">
      <c r="A9" s="177">
        <f t="shared" si="0"/>
        <v>5</v>
      </c>
      <c r="B9" s="30" t="s">
        <v>25</v>
      </c>
      <c r="C9" s="204" t="s">
        <v>1100</v>
      </c>
      <c r="D9" s="30" t="s">
        <v>15</v>
      </c>
      <c r="E9" s="30" t="s">
        <v>16</v>
      </c>
      <c r="F9" s="536" t="s">
        <v>17</v>
      </c>
    </row>
    <row r="10" spans="1:6" ht="24.75" customHeight="1">
      <c r="A10" s="177">
        <f t="shared" si="0"/>
        <v>6</v>
      </c>
      <c r="B10" s="30" t="s">
        <v>27</v>
      </c>
      <c r="C10" s="204" t="s">
        <v>346</v>
      </c>
      <c r="D10" s="30" t="s">
        <v>15</v>
      </c>
      <c r="E10" s="30" t="s">
        <v>16</v>
      </c>
      <c r="F10" s="536" t="s">
        <v>17</v>
      </c>
    </row>
    <row r="11" spans="1:6" ht="24.75" customHeight="1">
      <c r="A11" s="177">
        <f t="shared" si="0"/>
        <v>7</v>
      </c>
      <c r="B11" s="30" t="s">
        <v>29</v>
      </c>
      <c r="C11" s="204" t="s">
        <v>30</v>
      </c>
      <c r="D11" s="30" t="s">
        <v>24</v>
      </c>
      <c r="E11" s="30" t="s">
        <v>16</v>
      </c>
      <c r="F11" s="536" t="s">
        <v>17</v>
      </c>
    </row>
    <row r="12" spans="1:6" ht="36.75" customHeight="1">
      <c r="A12" s="177">
        <f t="shared" si="0"/>
        <v>8</v>
      </c>
      <c r="B12" s="30" t="s">
        <v>31</v>
      </c>
      <c r="C12" s="204" t="s">
        <v>347</v>
      </c>
      <c r="D12" s="30" t="s">
        <v>24</v>
      </c>
      <c r="E12" s="30" t="s">
        <v>16</v>
      </c>
      <c r="F12" s="536" t="s">
        <v>17</v>
      </c>
    </row>
    <row r="13" spans="1:6" ht="24.75" customHeight="1">
      <c r="A13" s="177">
        <f t="shared" si="0"/>
        <v>9</v>
      </c>
      <c r="B13" s="30" t="s">
        <v>35</v>
      </c>
      <c r="C13" s="204" t="s">
        <v>36</v>
      </c>
      <c r="D13" s="30" t="s">
        <v>24</v>
      </c>
      <c r="E13" s="30" t="s">
        <v>16</v>
      </c>
      <c r="F13" s="536" t="s">
        <v>17</v>
      </c>
    </row>
    <row r="14" spans="1:6" ht="24.75" customHeight="1">
      <c r="A14" s="177">
        <f t="shared" si="0"/>
        <v>10</v>
      </c>
      <c r="B14" s="30" t="s">
        <v>37</v>
      </c>
      <c r="C14" s="204" t="s">
        <v>349</v>
      </c>
      <c r="D14" s="30" t="s">
        <v>24</v>
      </c>
      <c r="E14" s="30" t="s">
        <v>16</v>
      </c>
      <c r="F14" s="536" t="s">
        <v>17</v>
      </c>
    </row>
    <row r="15" spans="1:6" s="532" customFormat="1" ht="24.75" customHeight="1">
      <c r="A15" s="177"/>
      <c r="B15" s="28" t="s">
        <v>39</v>
      </c>
      <c r="C15" s="44" t="s">
        <v>350</v>
      </c>
      <c r="D15" s="44"/>
      <c r="E15" s="44"/>
      <c r="F15" s="44"/>
    </row>
    <row r="16" spans="1:6" ht="24.75" customHeight="1">
      <c r="A16" s="177">
        <v>11</v>
      </c>
      <c r="B16" s="30" t="s">
        <v>41</v>
      </c>
      <c r="C16" s="204" t="s">
        <v>351</v>
      </c>
      <c r="D16" s="30" t="s">
        <v>42</v>
      </c>
      <c r="E16" s="30" t="s">
        <v>16</v>
      </c>
      <c r="F16" s="536" t="s">
        <v>17</v>
      </c>
    </row>
    <row r="17" spans="1:6" ht="24.75" hidden="1" customHeight="1">
      <c r="A17" s="177">
        <v>16</v>
      </c>
      <c r="B17" s="30" t="s">
        <v>43</v>
      </c>
      <c r="C17" s="204" t="s">
        <v>26</v>
      </c>
      <c r="D17" s="30" t="s">
        <v>42</v>
      </c>
      <c r="E17" s="30" t="s">
        <v>16</v>
      </c>
      <c r="F17" s="536" t="s">
        <v>17</v>
      </c>
    </row>
    <row r="18" spans="1:6" ht="24.75" customHeight="1">
      <c r="A18" s="177">
        <v>12</v>
      </c>
      <c r="B18" s="30" t="s">
        <v>43</v>
      </c>
      <c r="C18" s="204" t="s">
        <v>353</v>
      </c>
      <c r="D18" s="30" t="s">
        <v>42</v>
      </c>
      <c r="E18" s="30" t="s">
        <v>16</v>
      </c>
      <c r="F18" s="536" t="s">
        <v>17</v>
      </c>
    </row>
    <row r="19" spans="1:6" ht="24.75" customHeight="1">
      <c r="A19" s="177">
        <v>13</v>
      </c>
      <c r="B19" s="30" t="s">
        <v>355</v>
      </c>
      <c r="C19" s="204" t="s">
        <v>356</v>
      </c>
      <c r="D19" s="30" t="s">
        <v>42</v>
      </c>
      <c r="E19" s="30" t="s">
        <v>16</v>
      </c>
      <c r="F19" s="536" t="s">
        <v>17</v>
      </c>
    </row>
    <row r="20" spans="1:6" ht="24.75" customHeight="1">
      <c r="A20" s="177"/>
      <c r="B20" s="28" t="s">
        <v>44</v>
      </c>
      <c r="C20" s="505" t="s">
        <v>357</v>
      </c>
      <c r="D20" s="30"/>
      <c r="E20" s="30"/>
      <c r="F20" s="536"/>
    </row>
    <row r="21" spans="1:6" ht="39" customHeight="1">
      <c r="A21" s="177">
        <v>14</v>
      </c>
      <c r="B21" s="30" t="s">
        <v>46</v>
      </c>
      <c r="C21" s="204" t="s">
        <v>49</v>
      </c>
      <c r="D21" s="28" t="s">
        <v>24</v>
      </c>
      <c r="E21" s="28" t="s">
        <v>50</v>
      </c>
      <c r="F21" s="536" t="s">
        <v>17</v>
      </c>
    </row>
    <row r="22" spans="1:6" ht="33">
      <c r="A22" s="177">
        <v>15</v>
      </c>
      <c r="B22" s="30" t="s">
        <v>47</v>
      </c>
      <c r="C22" s="204" t="s">
        <v>52</v>
      </c>
      <c r="D22" s="28" t="s">
        <v>53</v>
      </c>
      <c r="E22" s="28" t="s">
        <v>16</v>
      </c>
      <c r="F22" s="536" t="s">
        <v>17</v>
      </c>
    </row>
    <row r="23" spans="1:6" ht="28.5" customHeight="1">
      <c r="A23" s="177">
        <v>16</v>
      </c>
      <c r="B23" s="30" t="s">
        <v>358</v>
      </c>
      <c r="C23" s="204" t="s">
        <v>55</v>
      </c>
      <c r="D23" s="28" t="s">
        <v>42</v>
      </c>
      <c r="E23" s="28" t="s">
        <v>16</v>
      </c>
      <c r="F23" s="536" t="s">
        <v>17</v>
      </c>
    </row>
    <row r="24" spans="1:6" ht="45" customHeight="1">
      <c r="A24" s="177">
        <v>17</v>
      </c>
      <c r="B24" s="30" t="s">
        <v>359</v>
      </c>
      <c r="C24" s="204" t="s">
        <v>57</v>
      </c>
      <c r="D24" s="28" t="s">
        <v>42</v>
      </c>
      <c r="E24" s="28" t="s">
        <v>50</v>
      </c>
      <c r="F24" s="536" t="s">
        <v>17</v>
      </c>
    </row>
    <row r="25" spans="1:6" ht="26.25" customHeight="1">
      <c r="A25" s="177">
        <v>18</v>
      </c>
      <c r="B25" s="28" t="s">
        <v>48</v>
      </c>
      <c r="C25" s="204" t="s">
        <v>59</v>
      </c>
      <c r="D25" s="28" t="s">
        <v>24</v>
      </c>
      <c r="E25" s="28" t="s">
        <v>16</v>
      </c>
      <c r="F25" s="536" t="s">
        <v>17</v>
      </c>
    </row>
    <row r="26" spans="1:6" ht="35.25" customHeight="1">
      <c r="A26" s="46" t="s">
        <v>60</v>
      </c>
      <c r="B26" s="28" t="s">
        <v>61</v>
      </c>
      <c r="C26" s="505" t="s">
        <v>62</v>
      </c>
      <c r="D26" s="505"/>
      <c r="E26" s="505"/>
      <c r="F26" s="505"/>
    </row>
    <row r="27" spans="1:6" ht="32.25" customHeight="1">
      <c r="A27" s="177">
        <v>19</v>
      </c>
      <c r="B27" s="30" t="s">
        <v>63</v>
      </c>
      <c r="C27" s="204" t="s">
        <v>64</v>
      </c>
      <c r="D27" s="30" t="s">
        <v>65</v>
      </c>
      <c r="E27" s="30" t="s">
        <v>16</v>
      </c>
      <c r="F27" s="536" t="s">
        <v>17</v>
      </c>
    </row>
    <row r="28" spans="1:6" ht="33">
      <c r="A28" s="46" t="s">
        <v>66</v>
      </c>
      <c r="B28" s="28" t="s">
        <v>67</v>
      </c>
      <c r="C28" s="505" t="s">
        <v>68</v>
      </c>
      <c r="D28" s="505"/>
      <c r="E28" s="505"/>
      <c r="F28" s="505"/>
    </row>
    <row r="29" spans="1:6" ht="53.25" customHeight="1">
      <c r="A29" s="177">
        <v>20</v>
      </c>
      <c r="B29" s="30" t="s">
        <v>69</v>
      </c>
      <c r="C29" s="204" t="s">
        <v>70</v>
      </c>
      <c r="D29" s="30" t="s">
        <v>15</v>
      </c>
      <c r="E29" s="30" t="s">
        <v>16</v>
      </c>
      <c r="F29" s="536" t="s">
        <v>85</v>
      </c>
    </row>
    <row r="30" spans="1:6" ht="68.25" customHeight="1">
      <c r="A30" s="177">
        <v>21</v>
      </c>
      <c r="B30" s="30" t="s">
        <v>71</v>
      </c>
      <c r="C30" s="204" t="s">
        <v>72</v>
      </c>
      <c r="D30" s="30" t="s">
        <v>15</v>
      </c>
      <c r="E30" s="30" t="s">
        <v>16</v>
      </c>
      <c r="F30" s="536" t="s">
        <v>85</v>
      </c>
    </row>
    <row r="31" spans="1:6" ht="66" customHeight="1">
      <c r="A31" s="177">
        <v>22</v>
      </c>
      <c r="B31" s="30" t="s">
        <v>73</v>
      </c>
      <c r="C31" s="204" t="s">
        <v>74</v>
      </c>
      <c r="D31" s="30" t="s">
        <v>15</v>
      </c>
      <c r="E31" s="30" t="s">
        <v>16</v>
      </c>
      <c r="F31" s="536" t="s">
        <v>85</v>
      </c>
    </row>
    <row r="32" spans="1:6" ht="67.5" customHeight="1">
      <c r="A32" s="177">
        <v>23</v>
      </c>
      <c r="B32" s="30" t="s">
        <v>75</v>
      </c>
      <c r="C32" s="204" t="s">
        <v>76</v>
      </c>
      <c r="D32" s="30" t="s">
        <v>15</v>
      </c>
      <c r="E32" s="30" t="s">
        <v>16</v>
      </c>
      <c r="F32" s="536" t="s">
        <v>85</v>
      </c>
    </row>
    <row r="33" spans="1:6" ht="49.5">
      <c r="A33" s="177">
        <v>24</v>
      </c>
      <c r="B33" s="30" t="s">
        <v>77</v>
      </c>
      <c r="C33" s="204" t="s">
        <v>78</v>
      </c>
      <c r="D33" s="30" t="s">
        <v>15</v>
      </c>
      <c r="E33" s="30" t="s">
        <v>16</v>
      </c>
      <c r="F33" s="536" t="s">
        <v>85</v>
      </c>
    </row>
    <row r="34" spans="1:6" ht="40.5" customHeight="1">
      <c r="A34" s="177">
        <v>25</v>
      </c>
      <c r="B34" s="30" t="s">
        <v>79</v>
      </c>
      <c r="C34" s="204" t="s">
        <v>80</v>
      </c>
      <c r="D34" s="30" t="s">
        <v>15</v>
      </c>
      <c r="E34" s="30" t="s">
        <v>16</v>
      </c>
      <c r="F34" s="536" t="s">
        <v>85</v>
      </c>
    </row>
    <row r="35" spans="1:6" ht="56.25" customHeight="1">
      <c r="A35" s="177">
        <v>26</v>
      </c>
      <c r="B35" s="30" t="s">
        <v>81</v>
      </c>
      <c r="C35" s="204" t="s">
        <v>82</v>
      </c>
      <c r="D35" s="30" t="s">
        <v>15</v>
      </c>
      <c r="E35" s="30" t="s">
        <v>16</v>
      </c>
      <c r="F35" s="536" t="s">
        <v>85</v>
      </c>
    </row>
    <row r="36" spans="1:6" ht="51.75" customHeight="1">
      <c r="A36" s="177">
        <v>27</v>
      </c>
      <c r="B36" s="30" t="s">
        <v>83</v>
      </c>
      <c r="C36" s="204" t="s">
        <v>84</v>
      </c>
      <c r="D36" s="30" t="s">
        <v>15</v>
      </c>
      <c r="E36" s="30" t="s">
        <v>16</v>
      </c>
      <c r="F36" s="536" t="s">
        <v>85</v>
      </c>
    </row>
    <row r="37" spans="1:6" ht="39" customHeight="1">
      <c r="A37" s="46" t="s">
        <v>86</v>
      </c>
      <c r="B37" s="28" t="s">
        <v>87</v>
      </c>
      <c r="C37" s="505" t="s">
        <v>214</v>
      </c>
      <c r="D37" s="505"/>
      <c r="E37" s="505"/>
      <c r="F37" s="505"/>
    </row>
    <row r="38" spans="1:6" ht="20.25" customHeight="1">
      <c r="A38" s="28" t="s">
        <v>89</v>
      </c>
      <c r="B38" s="28" t="s">
        <v>90</v>
      </c>
      <c r="C38" s="102" t="s">
        <v>91</v>
      </c>
      <c r="D38" s="102"/>
      <c r="E38" s="102"/>
      <c r="F38" s="102"/>
    </row>
    <row r="39" spans="1:6" ht="33">
      <c r="A39" s="177">
        <v>28</v>
      </c>
      <c r="B39" s="30" t="s">
        <v>92</v>
      </c>
      <c r="C39" s="204" t="s">
        <v>93</v>
      </c>
      <c r="D39" s="30" t="s">
        <v>65</v>
      </c>
      <c r="E39" s="30" t="s">
        <v>16</v>
      </c>
      <c r="F39" s="536" t="s">
        <v>85</v>
      </c>
    </row>
    <row r="40" spans="1:6" ht="20.25" customHeight="1">
      <c r="A40" s="177">
        <v>29</v>
      </c>
      <c r="B40" s="30" t="s">
        <v>94</v>
      </c>
      <c r="C40" s="204" t="s">
        <v>95</v>
      </c>
      <c r="D40" s="30" t="s">
        <v>65</v>
      </c>
      <c r="E40" s="30" t="s">
        <v>16</v>
      </c>
      <c r="F40" s="536" t="s">
        <v>85</v>
      </c>
    </row>
    <row r="41" spans="1:6" ht="20.25" customHeight="1">
      <c r="A41" s="28" t="s">
        <v>96</v>
      </c>
      <c r="B41" s="28" t="s">
        <v>97</v>
      </c>
      <c r="C41" s="102" t="s">
        <v>98</v>
      </c>
      <c r="D41" s="102"/>
      <c r="E41" s="102"/>
      <c r="F41" s="102"/>
    </row>
    <row r="42" spans="1:6" ht="20.25" customHeight="1">
      <c r="A42" s="177">
        <v>30</v>
      </c>
      <c r="B42" s="30" t="s">
        <v>99</v>
      </c>
      <c r="C42" s="204" t="s">
        <v>100</v>
      </c>
      <c r="D42" s="30" t="s">
        <v>65</v>
      </c>
      <c r="E42" s="30" t="s">
        <v>16</v>
      </c>
      <c r="F42" s="536" t="s">
        <v>85</v>
      </c>
    </row>
    <row r="43" spans="1:6" ht="20.25" customHeight="1">
      <c r="A43" s="177">
        <v>31</v>
      </c>
      <c r="B43" s="30" t="s">
        <v>101</v>
      </c>
      <c r="C43" s="204" t="s">
        <v>102</v>
      </c>
      <c r="D43" s="30" t="s">
        <v>65</v>
      </c>
      <c r="E43" s="30" t="s">
        <v>16</v>
      </c>
      <c r="F43" s="536" t="s">
        <v>85</v>
      </c>
    </row>
    <row r="44" spans="1:6" ht="22.5" customHeight="1">
      <c r="A44" s="28" t="s">
        <v>103</v>
      </c>
      <c r="B44" s="28" t="s">
        <v>104</v>
      </c>
      <c r="C44" s="102" t="s">
        <v>105</v>
      </c>
      <c r="D44" s="102"/>
      <c r="E44" s="102"/>
      <c r="F44" s="102"/>
    </row>
    <row r="45" spans="1:6" ht="33">
      <c r="A45" s="177">
        <v>32</v>
      </c>
      <c r="B45" s="30" t="s">
        <v>106</v>
      </c>
      <c r="C45" s="204" t="s">
        <v>107</v>
      </c>
      <c r="D45" s="30" t="s">
        <v>65</v>
      </c>
      <c r="E45" s="30" t="s">
        <v>16</v>
      </c>
      <c r="F45" s="536" t="s">
        <v>85</v>
      </c>
    </row>
    <row r="46" spans="1:6" ht="33">
      <c r="A46" s="177">
        <v>33</v>
      </c>
      <c r="B46" s="30" t="s">
        <v>108</v>
      </c>
      <c r="C46" s="204" t="s">
        <v>109</v>
      </c>
      <c r="D46" s="30" t="s">
        <v>65</v>
      </c>
      <c r="E46" s="30" t="s">
        <v>16</v>
      </c>
      <c r="F46" s="536" t="s">
        <v>85</v>
      </c>
    </row>
    <row r="47" spans="1:6" ht="35.25" customHeight="1">
      <c r="A47" s="177">
        <v>34</v>
      </c>
      <c r="B47" s="30" t="s">
        <v>110</v>
      </c>
      <c r="C47" s="204" t="s">
        <v>111</v>
      </c>
      <c r="D47" s="30" t="s">
        <v>65</v>
      </c>
      <c r="E47" s="30" t="s">
        <v>50</v>
      </c>
      <c r="F47" s="536" t="s">
        <v>85</v>
      </c>
    </row>
    <row r="48" spans="1:6" ht="33">
      <c r="A48" s="177">
        <v>35</v>
      </c>
      <c r="B48" s="30" t="s">
        <v>112</v>
      </c>
      <c r="C48" s="204" t="s">
        <v>113</v>
      </c>
      <c r="D48" s="30" t="s">
        <v>65</v>
      </c>
      <c r="E48" s="30" t="s">
        <v>16</v>
      </c>
      <c r="F48" s="536" t="s">
        <v>85</v>
      </c>
    </row>
    <row r="49" spans="1:6" ht="35.25" customHeight="1">
      <c r="A49" s="177">
        <v>36</v>
      </c>
      <c r="B49" s="30" t="s">
        <v>114</v>
      </c>
      <c r="C49" s="204" t="s">
        <v>115</v>
      </c>
      <c r="D49" s="30" t="s">
        <v>65</v>
      </c>
      <c r="E49" s="30" t="s">
        <v>16</v>
      </c>
      <c r="F49" s="536" t="s">
        <v>85</v>
      </c>
    </row>
    <row r="50" spans="1:6" ht="35.25" customHeight="1">
      <c r="A50" s="177">
        <v>37</v>
      </c>
      <c r="B50" s="30" t="s">
        <v>116</v>
      </c>
      <c r="C50" s="204" t="s">
        <v>117</v>
      </c>
      <c r="D50" s="30" t="s">
        <v>65</v>
      </c>
      <c r="E50" s="30" t="s">
        <v>16</v>
      </c>
      <c r="F50" s="536" t="s">
        <v>85</v>
      </c>
    </row>
    <row r="51" spans="1:6" ht="35.25" customHeight="1">
      <c r="A51" s="177">
        <v>38</v>
      </c>
      <c r="B51" s="30" t="s">
        <v>118</v>
      </c>
      <c r="C51" s="204" t="s">
        <v>119</v>
      </c>
      <c r="D51" s="30" t="s">
        <v>65</v>
      </c>
      <c r="E51" s="30" t="s">
        <v>16</v>
      </c>
      <c r="F51" s="536" t="s">
        <v>85</v>
      </c>
    </row>
    <row r="52" spans="1:6" ht="35.25" customHeight="1">
      <c r="A52" s="177">
        <v>39</v>
      </c>
      <c r="B52" s="30" t="s">
        <v>120</v>
      </c>
      <c r="C52" s="204" t="s">
        <v>121</v>
      </c>
      <c r="D52" s="30" t="s">
        <v>65</v>
      </c>
      <c r="E52" s="30" t="s">
        <v>50</v>
      </c>
      <c r="F52" s="536" t="s">
        <v>85</v>
      </c>
    </row>
    <row r="53" spans="1:6" ht="20.25" customHeight="1">
      <c r="A53" s="28"/>
      <c r="B53" s="28" t="s">
        <v>122</v>
      </c>
      <c r="C53" s="102" t="s">
        <v>123</v>
      </c>
      <c r="D53" s="102"/>
      <c r="E53" s="102"/>
      <c r="F53" s="102"/>
    </row>
    <row r="54" spans="1:6" ht="20.25" customHeight="1">
      <c r="A54" s="177">
        <v>40</v>
      </c>
      <c r="B54" s="30" t="s">
        <v>124</v>
      </c>
      <c r="C54" s="204" t="s">
        <v>125</v>
      </c>
      <c r="D54" s="30"/>
      <c r="E54" s="30" t="s">
        <v>126</v>
      </c>
      <c r="F54" s="536"/>
    </row>
    <row r="55" spans="1:6" ht="20.25" customHeight="1">
      <c r="A55" s="177">
        <f>+A54+1</f>
        <v>41</v>
      </c>
      <c r="B55" s="30" t="s">
        <v>127</v>
      </c>
      <c r="C55" s="204" t="s">
        <v>128</v>
      </c>
      <c r="D55" s="30"/>
      <c r="E55" s="30" t="s">
        <v>126</v>
      </c>
      <c r="F55" s="536"/>
    </row>
    <row r="56" spans="1:6" ht="20.25" customHeight="1">
      <c r="A56" s="177">
        <f>+A55+1</f>
        <v>42</v>
      </c>
      <c r="B56" s="30" t="s">
        <v>129</v>
      </c>
      <c r="C56" s="204" t="s">
        <v>130</v>
      </c>
      <c r="D56" s="30"/>
      <c r="E56" s="30" t="s">
        <v>126</v>
      </c>
      <c r="F56" s="536"/>
    </row>
    <row r="57" spans="1:6" ht="20.25" customHeight="1">
      <c r="A57" s="177"/>
      <c r="B57" s="30" t="s">
        <v>131</v>
      </c>
      <c r="C57" s="204" t="s">
        <v>131</v>
      </c>
      <c r="D57" s="30"/>
      <c r="E57" s="537"/>
      <c r="F57" s="536"/>
    </row>
    <row r="58" spans="1:6" ht="20.25" customHeight="1">
      <c r="A58" s="28"/>
      <c r="B58" s="28" t="s">
        <v>132</v>
      </c>
      <c r="C58" s="102" t="s">
        <v>133</v>
      </c>
      <c r="D58" s="102"/>
      <c r="E58" s="102"/>
      <c r="F58" s="102"/>
    </row>
    <row r="59" spans="1:6" ht="18.75" customHeight="1">
      <c r="A59" s="177">
        <v>43</v>
      </c>
      <c r="B59" s="30" t="s">
        <v>134</v>
      </c>
      <c r="C59" s="204" t="s">
        <v>131</v>
      </c>
      <c r="D59" s="30" t="s">
        <v>65</v>
      </c>
      <c r="E59" s="537"/>
      <c r="F59" s="536" t="s">
        <v>85</v>
      </c>
    </row>
    <row r="60" spans="1:6" ht="18.75" customHeight="1">
      <c r="A60" s="177">
        <v>44</v>
      </c>
      <c r="B60" s="30" t="s">
        <v>135</v>
      </c>
      <c r="C60" s="204" t="s">
        <v>131</v>
      </c>
      <c r="D60" s="30" t="s">
        <v>65</v>
      </c>
      <c r="E60" s="537"/>
      <c r="F60" s="536" t="s">
        <v>85</v>
      </c>
    </row>
    <row r="61" spans="1:6" ht="18.75" customHeight="1">
      <c r="A61" s="28"/>
      <c r="B61" s="28" t="s">
        <v>136</v>
      </c>
      <c r="C61" s="102" t="s">
        <v>137</v>
      </c>
      <c r="D61" s="102"/>
      <c r="E61" s="102"/>
      <c r="F61" s="102"/>
    </row>
    <row r="62" spans="1:6" ht="18.75" customHeight="1">
      <c r="A62" s="177">
        <v>45</v>
      </c>
      <c r="B62" s="30" t="s">
        <v>138</v>
      </c>
      <c r="C62" s="204" t="s">
        <v>139</v>
      </c>
      <c r="D62" s="30" t="s">
        <v>65</v>
      </c>
      <c r="E62" s="537"/>
      <c r="F62" s="536" t="s">
        <v>85</v>
      </c>
    </row>
    <row r="63" spans="1:6" ht="18.75" customHeight="1">
      <c r="A63" s="177">
        <f>+A62+1</f>
        <v>46</v>
      </c>
      <c r="B63" s="30" t="s">
        <v>140</v>
      </c>
      <c r="C63" s="204" t="s">
        <v>141</v>
      </c>
      <c r="D63" s="30" t="s">
        <v>65</v>
      </c>
      <c r="E63" s="537"/>
      <c r="F63" s="536" t="s">
        <v>85</v>
      </c>
    </row>
    <row r="64" spans="1:6" ht="18.75" customHeight="1">
      <c r="A64" s="177">
        <f t="shared" ref="A64:A69" si="1">+A63+1</f>
        <v>47</v>
      </c>
      <c r="B64" s="30" t="s">
        <v>142</v>
      </c>
      <c r="C64" s="204" t="s">
        <v>143</v>
      </c>
      <c r="D64" s="30" t="s">
        <v>65</v>
      </c>
      <c r="E64" s="537"/>
      <c r="F64" s="536" t="s">
        <v>85</v>
      </c>
    </row>
    <row r="65" spans="1:6" ht="18.75" customHeight="1">
      <c r="A65" s="177">
        <f t="shared" si="1"/>
        <v>48</v>
      </c>
      <c r="B65" s="30" t="s">
        <v>144</v>
      </c>
      <c r="C65" s="204" t="s">
        <v>145</v>
      </c>
      <c r="D65" s="30" t="s">
        <v>65</v>
      </c>
      <c r="E65" s="537"/>
      <c r="F65" s="536" t="s">
        <v>85</v>
      </c>
    </row>
    <row r="66" spans="1:6" ht="18.75" customHeight="1">
      <c r="A66" s="177">
        <f t="shared" si="1"/>
        <v>49</v>
      </c>
      <c r="B66" s="30" t="s">
        <v>146</v>
      </c>
      <c r="C66" s="204" t="s">
        <v>147</v>
      </c>
      <c r="D66" s="30" t="s">
        <v>65</v>
      </c>
      <c r="E66" s="537"/>
      <c r="F66" s="536" t="s">
        <v>85</v>
      </c>
    </row>
    <row r="67" spans="1:6" ht="18.75" customHeight="1">
      <c r="A67" s="177">
        <f t="shared" si="1"/>
        <v>50</v>
      </c>
      <c r="B67" s="30" t="s">
        <v>148</v>
      </c>
      <c r="C67" s="204" t="s">
        <v>149</v>
      </c>
      <c r="D67" s="30" t="s">
        <v>65</v>
      </c>
      <c r="E67" s="537"/>
      <c r="F67" s="536" t="s">
        <v>85</v>
      </c>
    </row>
    <row r="68" spans="1:6" ht="18.75" customHeight="1">
      <c r="A68" s="177">
        <f t="shared" si="1"/>
        <v>51</v>
      </c>
      <c r="B68" s="30" t="s">
        <v>150</v>
      </c>
      <c r="C68" s="204" t="s">
        <v>151</v>
      </c>
      <c r="D68" s="30" t="s">
        <v>65</v>
      </c>
      <c r="E68" s="537"/>
      <c r="F68" s="536" t="s">
        <v>85</v>
      </c>
    </row>
    <row r="69" spans="1:6" ht="18.75" customHeight="1">
      <c r="A69" s="177">
        <f t="shared" si="1"/>
        <v>52</v>
      </c>
      <c r="B69" s="30" t="s">
        <v>152</v>
      </c>
      <c r="C69" s="204" t="s">
        <v>153</v>
      </c>
      <c r="D69" s="30" t="s">
        <v>65</v>
      </c>
      <c r="E69" s="537"/>
      <c r="F69" s="536" t="s">
        <v>85</v>
      </c>
    </row>
    <row r="70" spans="1:6" ht="18.75" customHeight="1">
      <c r="A70" s="177"/>
      <c r="B70" s="30" t="s">
        <v>154</v>
      </c>
      <c r="C70" s="204" t="s">
        <v>155</v>
      </c>
      <c r="D70" s="30" t="s">
        <v>65</v>
      </c>
      <c r="E70" s="537"/>
      <c r="F70" s="536" t="s">
        <v>85</v>
      </c>
    </row>
    <row r="71" spans="1:6" ht="18.75" customHeight="1">
      <c r="A71" s="28"/>
      <c r="B71" s="28" t="s">
        <v>156</v>
      </c>
      <c r="C71" s="102" t="s">
        <v>157</v>
      </c>
      <c r="D71" s="102"/>
      <c r="E71" s="102"/>
      <c r="F71" s="102"/>
    </row>
    <row r="72" spans="1:6" ht="18.75" customHeight="1">
      <c r="A72" s="177">
        <f>A69+1</f>
        <v>53</v>
      </c>
      <c r="B72" s="567" t="s">
        <v>158</v>
      </c>
      <c r="C72" s="538" t="s">
        <v>131</v>
      </c>
      <c r="D72" s="30" t="s">
        <v>65</v>
      </c>
      <c r="E72" s="537"/>
      <c r="F72" s="536" t="s">
        <v>85</v>
      </c>
    </row>
    <row r="73" spans="1:6" ht="18.75" customHeight="1">
      <c r="A73" s="177">
        <f>A72+1</f>
        <v>54</v>
      </c>
      <c r="B73" s="567" t="s">
        <v>159</v>
      </c>
      <c r="C73" s="538" t="s">
        <v>131</v>
      </c>
      <c r="D73" s="30" t="s">
        <v>65</v>
      </c>
      <c r="E73" s="537"/>
      <c r="F73" s="536" t="s">
        <v>85</v>
      </c>
    </row>
    <row r="74" spans="1:6" ht="18.75" customHeight="1">
      <c r="A74" s="28"/>
      <c r="B74" s="28" t="s">
        <v>160</v>
      </c>
      <c r="C74" s="102" t="s">
        <v>161</v>
      </c>
      <c r="D74" s="102"/>
      <c r="E74" s="102"/>
      <c r="F74" s="102"/>
    </row>
    <row r="75" spans="1:6" ht="33">
      <c r="A75" s="177">
        <f>A73+1</f>
        <v>55</v>
      </c>
      <c r="B75" s="30" t="s">
        <v>162</v>
      </c>
      <c r="C75" s="204" t="s">
        <v>163</v>
      </c>
      <c r="D75" s="30" t="s">
        <v>65</v>
      </c>
      <c r="E75" s="537"/>
      <c r="F75" s="536" t="s">
        <v>85</v>
      </c>
    </row>
    <row r="76" spans="1:6" ht="33">
      <c r="A76" s="177">
        <f>A75+1</f>
        <v>56</v>
      </c>
      <c r="B76" s="30" t="s">
        <v>164</v>
      </c>
      <c r="C76" s="204" t="s">
        <v>165</v>
      </c>
      <c r="D76" s="30" t="s">
        <v>65</v>
      </c>
      <c r="E76" s="537"/>
      <c r="F76" s="536" t="s">
        <v>85</v>
      </c>
    </row>
    <row r="77" spans="1:6" ht="16.5">
      <c r="A77" s="177"/>
      <c r="B77" s="30" t="s">
        <v>131</v>
      </c>
      <c r="C77" s="204" t="s">
        <v>131</v>
      </c>
      <c r="D77" s="30" t="s">
        <v>65</v>
      </c>
      <c r="E77" s="537"/>
      <c r="F77" s="536" t="s">
        <v>85</v>
      </c>
    </row>
    <row r="78" spans="1:6" ht="18.75" customHeight="1">
      <c r="A78" s="28"/>
      <c r="B78" s="28" t="s">
        <v>166</v>
      </c>
      <c r="C78" s="102" t="s">
        <v>167</v>
      </c>
      <c r="D78" s="28" t="s">
        <v>65</v>
      </c>
      <c r="E78" s="102"/>
      <c r="F78" s="102"/>
    </row>
    <row r="79" spans="1:6" ht="18.75" customHeight="1">
      <c r="A79" s="177">
        <f>A76+1</f>
        <v>57</v>
      </c>
      <c r="B79" s="30" t="s">
        <v>168</v>
      </c>
      <c r="C79" s="204" t="s">
        <v>131</v>
      </c>
      <c r="D79" s="30" t="s">
        <v>65</v>
      </c>
      <c r="E79" s="537"/>
      <c r="F79" s="536" t="s">
        <v>85</v>
      </c>
    </row>
    <row r="80" spans="1:6" ht="18.75" customHeight="1">
      <c r="A80" s="177">
        <f>A79+1</f>
        <v>58</v>
      </c>
      <c r="B80" s="30" t="s">
        <v>169</v>
      </c>
      <c r="C80" s="204" t="s">
        <v>131</v>
      </c>
      <c r="D80" s="30" t="s">
        <v>65</v>
      </c>
      <c r="E80" s="537"/>
      <c r="F80" s="536" t="s">
        <v>85</v>
      </c>
    </row>
    <row r="81" spans="1:6" ht="18.75" customHeight="1">
      <c r="A81" s="28"/>
      <c r="B81" s="28" t="s">
        <v>170</v>
      </c>
      <c r="C81" s="102" t="s">
        <v>171</v>
      </c>
      <c r="D81" s="28" t="s">
        <v>65</v>
      </c>
      <c r="E81" s="102"/>
      <c r="F81" s="102"/>
    </row>
    <row r="82" spans="1:6" ht="18.75" customHeight="1">
      <c r="A82" s="177">
        <f>A80+1</f>
        <v>59</v>
      </c>
      <c r="B82" s="30" t="s">
        <v>172</v>
      </c>
      <c r="C82" s="204" t="s">
        <v>131</v>
      </c>
      <c r="D82" s="30" t="s">
        <v>65</v>
      </c>
      <c r="E82" s="537"/>
      <c r="F82" s="536" t="s">
        <v>85</v>
      </c>
    </row>
    <row r="83" spans="1:6" ht="21" customHeight="1">
      <c r="A83" s="177">
        <f>A82+1</f>
        <v>60</v>
      </c>
      <c r="B83" s="30" t="s">
        <v>173</v>
      </c>
      <c r="C83" s="204" t="s">
        <v>131</v>
      </c>
      <c r="D83" s="30" t="s">
        <v>65</v>
      </c>
      <c r="E83" s="537"/>
      <c r="F83" s="536" t="s">
        <v>85</v>
      </c>
    </row>
    <row r="84" spans="1:6" ht="18.75" customHeight="1">
      <c r="A84" s="28"/>
      <c r="B84" s="28" t="s">
        <v>174</v>
      </c>
      <c r="C84" s="102" t="s">
        <v>175</v>
      </c>
      <c r="D84" s="28" t="s">
        <v>65</v>
      </c>
      <c r="E84" s="102"/>
      <c r="F84" s="102"/>
    </row>
    <row r="85" spans="1:6" ht="18.75" customHeight="1">
      <c r="A85" s="177">
        <f>A83+1</f>
        <v>61</v>
      </c>
      <c r="B85" s="30" t="s">
        <v>176</v>
      </c>
      <c r="C85" s="204" t="s">
        <v>177</v>
      </c>
      <c r="D85" s="30" t="s">
        <v>65</v>
      </c>
      <c r="E85" s="537"/>
      <c r="F85" s="536" t="s">
        <v>85</v>
      </c>
    </row>
    <row r="86" spans="1:6" ht="18.75" customHeight="1">
      <c r="A86" s="177">
        <f>+A85+1</f>
        <v>62</v>
      </c>
      <c r="B86" s="30" t="s">
        <v>178</v>
      </c>
      <c r="C86" s="204" t="s">
        <v>179</v>
      </c>
      <c r="D86" s="30" t="s">
        <v>65</v>
      </c>
      <c r="E86" s="537"/>
      <c r="F86" s="536" t="s">
        <v>85</v>
      </c>
    </row>
    <row r="87" spans="1:6" ht="18.75" customHeight="1">
      <c r="A87" s="177">
        <f>+A86+1</f>
        <v>63</v>
      </c>
      <c r="B87" s="30" t="s">
        <v>180</v>
      </c>
      <c r="C87" s="204" t="s">
        <v>181</v>
      </c>
      <c r="D87" s="30" t="s">
        <v>65</v>
      </c>
      <c r="E87" s="537"/>
      <c r="F87" s="536" t="s">
        <v>85</v>
      </c>
    </row>
    <row r="88" spans="1:6" ht="18.75" customHeight="1">
      <c r="A88" s="177">
        <f>+A87+1</f>
        <v>64</v>
      </c>
      <c r="B88" s="30" t="s">
        <v>182</v>
      </c>
      <c r="C88" s="204" t="s">
        <v>183</v>
      </c>
      <c r="D88" s="30" t="s">
        <v>65</v>
      </c>
      <c r="E88" s="537"/>
      <c r="F88" s="536" t="s">
        <v>85</v>
      </c>
    </row>
    <row r="89" spans="1:6" ht="18.75" customHeight="1">
      <c r="A89" s="177">
        <f>+A88+1</f>
        <v>65</v>
      </c>
      <c r="B89" s="30" t="s">
        <v>184</v>
      </c>
      <c r="C89" s="204" t="s">
        <v>185</v>
      </c>
      <c r="D89" s="30" t="s">
        <v>65</v>
      </c>
      <c r="E89" s="537"/>
      <c r="F89" s="536" t="s">
        <v>85</v>
      </c>
    </row>
    <row r="90" spans="1:6" ht="18.75" customHeight="1">
      <c r="A90" s="177"/>
      <c r="B90" s="30" t="s">
        <v>131</v>
      </c>
      <c r="C90" s="204" t="s">
        <v>131</v>
      </c>
      <c r="D90" s="30"/>
      <c r="E90" s="537"/>
      <c r="F90" s="536"/>
    </row>
    <row r="91" spans="1:6" ht="33">
      <c r="A91" s="28"/>
      <c r="B91" s="28" t="s">
        <v>186</v>
      </c>
      <c r="C91" s="102" t="s">
        <v>187</v>
      </c>
      <c r="D91" s="102"/>
      <c r="E91" s="102"/>
      <c r="F91" s="102"/>
    </row>
    <row r="92" spans="1:6" ht="16.5">
      <c r="A92" s="177">
        <f>A89+1</f>
        <v>66</v>
      </c>
      <c r="B92" s="30" t="s">
        <v>188</v>
      </c>
      <c r="C92" s="204" t="s">
        <v>189</v>
      </c>
      <c r="D92" s="30" t="s">
        <v>65</v>
      </c>
      <c r="E92" s="537"/>
      <c r="F92" s="536" t="s">
        <v>85</v>
      </c>
    </row>
    <row r="93" spans="1:6" ht="16.5">
      <c r="A93" s="177">
        <f>+A92+1</f>
        <v>67</v>
      </c>
      <c r="B93" s="30" t="s">
        <v>190</v>
      </c>
      <c r="C93" s="204" t="s">
        <v>191</v>
      </c>
      <c r="D93" s="30" t="s">
        <v>65</v>
      </c>
      <c r="E93" s="537"/>
      <c r="F93" s="536" t="s">
        <v>85</v>
      </c>
    </row>
    <row r="94" spans="1:6" ht="16.5">
      <c r="A94" s="177"/>
      <c r="B94" s="30" t="s">
        <v>131</v>
      </c>
      <c r="C94" s="204" t="s">
        <v>131</v>
      </c>
      <c r="D94" s="30" t="s">
        <v>65</v>
      </c>
      <c r="E94" s="537"/>
      <c r="F94" s="536" t="s">
        <v>85</v>
      </c>
    </row>
    <row r="95" spans="1:6" ht="33">
      <c r="A95" s="28"/>
      <c r="B95" s="28" t="s">
        <v>192</v>
      </c>
      <c r="C95" s="102" t="s">
        <v>193</v>
      </c>
      <c r="D95" s="102"/>
      <c r="E95" s="102"/>
      <c r="F95" s="102"/>
    </row>
    <row r="96" spans="1:6" ht="18">
      <c r="A96" s="539"/>
      <c r="B96" s="568" t="s">
        <v>131</v>
      </c>
      <c r="C96" s="538" t="s">
        <v>131</v>
      </c>
      <c r="D96" s="30" t="s">
        <v>65</v>
      </c>
      <c r="E96" s="537"/>
      <c r="F96" s="536" t="s">
        <v>85</v>
      </c>
    </row>
    <row r="97" spans="1:6" ht="49.5">
      <c r="A97" s="28"/>
      <c r="B97" s="28" t="s">
        <v>194</v>
      </c>
      <c r="C97" s="102" t="s">
        <v>195</v>
      </c>
      <c r="D97" s="102"/>
      <c r="E97" s="102"/>
      <c r="F97" s="102"/>
    </row>
    <row r="98" spans="1:6" ht="18">
      <c r="A98" s="539"/>
      <c r="B98" s="568" t="s">
        <v>131</v>
      </c>
      <c r="C98" s="538" t="s">
        <v>131</v>
      </c>
      <c r="D98" s="30" t="s">
        <v>65</v>
      </c>
      <c r="E98" s="537"/>
      <c r="F98" s="536" t="s">
        <v>85</v>
      </c>
    </row>
    <row r="99" spans="1:6" ht="66">
      <c r="A99" s="28"/>
      <c r="B99" s="28" t="s">
        <v>196</v>
      </c>
      <c r="C99" s="102" t="s">
        <v>197</v>
      </c>
      <c r="D99" s="102"/>
      <c r="E99" s="102"/>
      <c r="F99" s="102"/>
    </row>
    <row r="100" spans="1:6" ht="16.5">
      <c r="A100" s="177"/>
      <c r="B100" s="30" t="s">
        <v>198</v>
      </c>
      <c r="C100" s="204" t="s">
        <v>199</v>
      </c>
      <c r="D100" s="30" t="s">
        <v>65</v>
      </c>
      <c r="E100" s="537"/>
      <c r="F100" s="536" t="s">
        <v>85</v>
      </c>
    </row>
    <row r="101" spans="1:6" ht="16.5">
      <c r="A101" s="177"/>
      <c r="B101" s="30" t="s">
        <v>131</v>
      </c>
      <c r="C101" s="204" t="s">
        <v>131</v>
      </c>
      <c r="D101" s="30" t="s">
        <v>65</v>
      </c>
      <c r="E101" s="537"/>
      <c r="F101" s="536" t="s">
        <v>85</v>
      </c>
    </row>
    <row r="102" spans="1:6" ht="16.5">
      <c r="A102" s="28"/>
      <c r="B102" s="28" t="s">
        <v>200</v>
      </c>
      <c r="C102" s="102" t="s">
        <v>201</v>
      </c>
      <c r="D102" s="102"/>
      <c r="E102" s="102"/>
      <c r="F102" s="102"/>
    </row>
    <row r="103" spans="1:6" ht="18">
      <c r="A103" s="539"/>
      <c r="B103" s="568" t="s">
        <v>131</v>
      </c>
      <c r="C103" s="538" t="s">
        <v>131</v>
      </c>
      <c r="D103" s="30" t="s">
        <v>65</v>
      </c>
      <c r="E103" s="537"/>
      <c r="F103" s="536" t="s">
        <v>85</v>
      </c>
    </row>
    <row r="104" spans="1:6" ht="118.5" customHeight="1">
      <c r="A104" s="28"/>
      <c r="B104" s="28" t="s">
        <v>202</v>
      </c>
      <c r="C104" s="102" t="s">
        <v>203</v>
      </c>
      <c r="D104" s="102"/>
      <c r="E104" s="102"/>
      <c r="F104" s="102"/>
    </row>
    <row r="105" spans="1:6" ht="18">
      <c r="A105" s="539"/>
      <c r="B105" s="568" t="s">
        <v>131</v>
      </c>
      <c r="C105" s="538" t="s">
        <v>131</v>
      </c>
      <c r="D105" s="30" t="s">
        <v>65</v>
      </c>
      <c r="E105" s="537"/>
      <c r="F105" s="536" t="s">
        <v>85</v>
      </c>
    </row>
    <row r="106" spans="1:6" ht="16.5">
      <c r="A106" s="28"/>
      <c r="B106" s="28" t="s">
        <v>204</v>
      </c>
      <c r="C106" s="102" t="s">
        <v>131</v>
      </c>
      <c r="D106" s="102"/>
      <c r="E106" s="102"/>
      <c r="F106" s="102"/>
    </row>
    <row r="107" spans="1:6" ht="49.5">
      <c r="A107" s="46" t="s">
        <v>205</v>
      </c>
      <c r="B107" s="28" t="s">
        <v>206</v>
      </c>
      <c r="C107" s="505" t="s">
        <v>207</v>
      </c>
      <c r="D107" s="505"/>
      <c r="E107" s="505"/>
      <c r="F107" s="505"/>
    </row>
    <row r="108" spans="1:6" ht="49.5">
      <c r="A108" s="177"/>
      <c r="B108" s="30" t="s">
        <v>208</v>
      </c>
      <c r="C108" s="204" t="s">
        <v>209</v>
      </c>
      <c r="D108" s="30" t="s">
        <v>65</v>
      </c>
      <c r="E108" s="537"/>
      <c r="F108" s="536" t="s">
        <v>85</v>
      </c>
    </row>
  </sheetData>
  <mergeCells count="2">
    <mergeCell ref="A1:B1"/>
    <mergeCell ref="C1:E1"/>
  </mergeCells>
  <pageMargins left="0.78740157480314998" right="0.59055118110236204" top="0.78740157480314998" bottom="0.78740157480314998" header="0" footer="0"/>
  <pageSetup paperSize="9" scale="15"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1"/>
  <sheetViews>
    <sheetView topLeftCell="A7" workbookViewId="0">
      <selection activeCell="C19" sqref="C19"/>
    </sheetView>
  </sheetViews>
  <sheetFormatPr defaultColWidth="9" defaultRowHeight="17.25"/>
  <cols>
    <col min="1" max="1" width="7" style="502" customWidth="1"/>
    <col min="2" max="2" width="15.140625" style="503" customWidth="1"/>
    <col min="3" max="3" width="41.5703125" style="503" customWidth="1"/>
    <col min="4" max="4" width="58.140625" style="504" customWidth="1"/>
  </cols>
  <sheetData>
    <row r="1" spans="1:4" ht="69.599999999999994" customHeight="1">
      <c r="A1" s="708"/>
      <c r="B1" s="709"/>
      <c r="C1" s="523" t="s">
        <v>215</v>
      </c>
      <c r="D1" s="523" t="s">
        <v>216</v>
      </c>
    </row>
    <row r="2" spans="1:4" ht="11.45" customHeight="1">
      <c r="A2" s="710"/>
      <c r="B2" s="711"/>
      <c r="C2" s="711"/>
      <c r="D2" s="711"/>
    </row>
    <row r="3" spans="1:4" ht="16.5">
      <c r="A3" s="702" t="s">
        <v>217</v>
      </c>
      <c r="B3" s="702"/>
      <c r="C3" s="702"/>
      <c r="D3" s="702"/>
    </row>
    <row r="4" spans="1:4" ht="16.5">
      <c r="A4" s="701" t="s">
        <v>218</v>
      </c>
      <c r="B4" s="701"/>
      <c r="C4" s="701"/>
      <c r="D4" s="701"/>
    </row>
    <row r="5" spans="1:4" ht="16.5">
      <c r="A5" s="701" t="s">
        <v>219</v>
      </c>
      <c r="B5" s="701"/>
      <c r="C5" s="701"/>
      <c r="D5" s="701"/>
    </row>
    <row r="6" spans="1:4" ht="16.5">
      <c r="A6" s="701" t="s">
        <v>220</v>
      </c>
      <c r="B6" s="701"/>
      <c r="C6" s="701"/>
      <c r="D6" s="701"/>
    </row>
    <row r="7" spans="1:4" ht="16.5">
      <c r="A7" s="704" t="s">
        <v>221</v>
      </c>
      <c r="B7" s="705"/>
      <c r="C7" s="705"/>
      <c r="D7" s="706"/>
    </row>
    <row r="8" spans="1:4" ht="16.5">
      <c r="A8" s="704" t="s">
        <v>222</v>
      </c>
      <c r="B8" s="705"/>
      <c r="C8" s="705"/>
      <c r="D8" s="706"/>
    </row>
    <row r="9" spans="1:4" ht="16.5">
      <c r="A9" s="707" t="s">
        <v>223</v>
      </c>
      <c r="B9" s="707"/>
      <c r="C9" s="707"/>
      <c r="D9" s="707"/>
    </row>
    <row r="10" spans="1:4" ht="16.5">
      <c r="A10" s="701" t="s">
        <v>224</v>
      </c>
      <c r="B10" s="701"/>
      <c r="C10" s="701"/>
      <c r="D10" s="701"/>
    </row>
    <row r="11" spans="1:4" ht="16.5">
      <c r="A11" s="701" t="s">
        <v>225</v>
      </c>
      <c r="B11" s="701"/>
      <c r="C11" s="701"/>
      <c r="D11" s="701"/>
    </row>
    <row r="12" spans="1:4" ht="16.5">
      <c r="A12" s="701" t="s">
        <v>226</v>
      </c>
      <c r="B12" s="701"/>
      <c r="C12" s="701"/>
      <c r="D12" s="701"/>
    </row>
    <row r="13" spans="1:4" ht="16.5">
      <c r="A13" s="702" t="s">
        <v>227</v>
      </c>
      <c r="B13" s="702"/>
      <c r="C13" s="702"/>
      <c r="D13" s="702"/>
    </row>
    <row r="14" spans="1:4" ht="16.5">
      <c r="A14" s="703" t="s">
        <v>228</v>
      </c>
      <c r="B14" s="703"/>
      <c r="C14" s="703"/>
      <c r="D14" s="703"/>
    </row>
    <row r="15" spans="1:4" ht="16.5">
      <c r="A15" s="703" t="s">
        <v>229</v>
      </c>
      <c r="B15" s="703"/>
      <c r="C15" s="703"/>
      <c r="D15" s="703"/>
    </row>
    <row r="16" spans="1:4" s="501" customFormat="1" ht="49.5">
      <c r="A16" s="524" t="s">
        <v>2</v>
      </c>
      <c r="B16" s="391" t="s">
        <v>230</v>
      </c>
      <c r="C16" s="525" t="s">
        <v>4</v>
      </c>
      <c r="D16" s="526" t="s">
        <v>231</v>
      </c>
    </row>
    <row r="17" spans="1:4" s="278" customFormat="1" ht="33" customHeight="1">
      <c r="A17" s="527" t="s">
        <v>8</v>
      </c>
      <c r="B17" s="516" t="s">
        <v>9</v>
      </c>
      <c r="C17" s="517" t="s">
        <v>10</v>
      </c>
      <c r="D17" s="517"/>
    </row>
    <row r="18" spans="1:4" s="278" customFormat="1" ht="33" customHeight="1">
      <c r="A18" s="527">
        <v>1</v>
      </c>
      <c r="B18" s="516">
        <v>1.1000000000000001</v>
      </c>
      <c r="C18" s="517" t="s">
        <v>12</v>
      </c>
      <c r="D18" s="517"/>
    </row>
    <row r="19" spans="1:4" s="278" customFormat="1" ht="26.25" customHeight="1">
      <c r="A19" s="528">
        <v>2</v>
      </c>
      <c r="B19" s="70" t="s">
        <v>13</v>
      </c>
      <c r="C19" s="518" t="s">
        <v>14</v>
      </c>
      <c r="D19" s="518" t="s">
        <v>232</v>
      </c>
    </row>
    <row r="20" spans="1:4" s="278" customFormat="1" ht="26.25" customHeight="1">
      <c r="A20" s="528">
        <v>3</v>
      </c>
      <c r="B20" s="70" t="s">
        <v>18</v>
      </c>
      <c r="C20" s="518" t="s">
        <v>19</v>
      </c>
      <c r="D20" s="518" t="s">
        <v>233</v>
      </c>
    </row>
    <row r="21" spans="1:4" s="278" customFormat="1" ht="26.25" customHeight="1">
      <c r="A21" s="528">
        <v>4</v>
      </c>
      <c r="B21" s="70" t="s">
        <v>20</v>
      </c>
      <c r="C21" s="518" t="s">
        <v>21</v>
      </c>
      <c r="D21" s="518" t="s">
        <v>234</v>
      </c>
    </row>
    <row r="22" spans="1:4" s="278" customFormat="1" ht="26.25" customHeight="1">
      <c r="A22" s="528">
        <v>5</v>
      </c>
      <c r="B22" s="70" t="s">
        <v>22</v>
      </c>
      <c r="C22" s="518" t="s">
        <v>235</v>
      </c>
      <c r="D22" s="518" t="s">
        <v>236</v>
      </c>
    </row>
    <row r="23" spans="1:4" s="278" customFormat="1" ht="26.25" customHeight="1">
      <c r="A23" s="528">
        <v>6</v>
      </c>
      <c r="B23" s="70" t="s">
        <v>25</v>
      </c>
      <c r="C23" s="518" t="s">
        <v>23</v>
      </c>
      <c r="D23" s="518" t="s">
        <v>236</v>
      </c>
    </row>
    <row r="24" spans="1:4" s="278" customFormat="1" ht="26.25" customHeight="1">
      <c r="A24" s="528">
        <v>7</v>
      </c>
      <c r="B24" s="70" t="s">
        <v>27</v>
      </c>
      <c r="C24" s="518" t="s">
        <v>26</v>
      </c>
      <c r="D24" s="518" t="s">
        <v>237</v>
      </c>
    </row>
    <row r="25" spans="1:4" s="278" customFormat="1" ht="55.15" customHeight="1">
      <c r="A25" s="528">
        <v>8</v>
      </c>
      <c r="B25" s="70" t="s">
        <v>29</v>
      </c>
      <c r="C25" s="518" t="s">
        <v>28</v>
      </c>
      <c r="D25" s="518" t="s">
        <v>238</v>
      </c>
    </row>
    <row r="26" spans="1:4" s="278" customFormat="1" ht="34.9" customHeight="1">
      <c r="A26" s="528">
        <v>9</v>
      </c>
      <c r="B26" s="70" t="s">
        <v>31</v>
      </c>
      <c r="C26" s="518" t="s">
        <v>30</v>
      </c>
      <c r="D26" s="518" t="s">
        <v>239</v>
      </c>
    </row>
    <row r="27" spans="1:4" s="278" customFormat="1" ht="26.25" customHeight="1">
      <c r="A27" s="528">
        <v>10</v>
      </c>
      <c r="B27" s="70" t="s">
        <v>33</v>
      </c>
      <c r="C27" s="518" t="s">
        <v>32</v>
      </c>
      <c r="D27" s="518" t="s">
        <v>240</v>
      </c>
    </row>
    <row r="28" spans="1:4" s="278" customFormat="1" ht="26.25" customHeight="1">
      <c r="A28" s="528">
        <v>11</v>
      </c>
      <c r="B28" s="70" t="s">
        <v>35</v>
      </c>
      <c r="C28" s="518" t="s">
        <v>34</v>
      </c>
      <c r="D28" s="518" t="s">
        <v>241</v>
      </c>
    </row>
    <row r="29" spans="1:4" s="278" customFormat="1" ht="26.25" customHeight="1">
      <c r="A29" s="528">
        <v>12</v>
      </c>
      <c r="B29" s="70" t="s">
        <v>37</v>
      </c>
      <c r="C29" s="518" t="s">
        <v>36</v>
      </c>
      <c r="D29" s="518" t="s">
        <v>242</v>
      </c>
    </row>
    <row r="30" spans="1:4" s="278" customFormat="1" ht="26.25" customHeight="1">
      <c r="A30" s="528">
        <v>13</v>
      </c>
      <c r="B30" s="70" t="s">
        <v>243</v>
      </c>
      <c r="C30" s="518" t="s">
        <v>38</v>
      </c>
      <c r="D30" s="518" t="s">
        <v>244</v>
      </c>
    </row>
    <row r="31" spans="1:4" s="278" customFormat="1" ht="52.5" customHeight="1">
      <c r="A31" s="528">
        <v>14</v>
      </c>
      <c r="B31" s="70">
        <v>1.2</v>
      </c>
      <c r="C31" s="518" t="s">
        <v>40</v>
      </c>
      <c r="D31" s="518"/>
    </row>
    <row r="32" spans="1:4" s="278" customFormat="1" ht="34.9" customHeight="1">
      <c r="A32" s="528">
        <v>15</v>
      </c>
      <c r="B32" s="70" t="s">
        <v>41</v>
      </c>
      <c r="C32" s="518" t="s">
        <v>14</v>
      </c>
      <c r="D32" s="518" t="s">
        <v>245</v>
      </c>
    </row>
    <row r="33" spans="1:4" s="278" customFormat="1" ht="34.9" customHeight="1">
      <c r="A33" s="528">
        <v>16</v>
      </c>
      <c r="B33" s="70" t="s">
        <v>43</v>
      </c>
      <c r="C33" s="518" t="s">
        <v>26</v>
      </c>
      <c r="D33" s="518" t="s">
        <v>246</v>
      </c>
    </row>
    <row r="34" spans="1:4" s="278" customFormat="1" ht="55.9" customHeight="1">
      <c r="A34" s="527">
        <v>17</v>
      </c>
      <c r="B34" s="516" t="s">
        <v>44</v>
      </c>
      <c r="C34" s="517" t="s">
        <v>45</v>
      </c>
      <c r="D34" s="517"/>
    </row>
    <row r="35" spans="1:4" s="278" customFormat="1" ht="34.9" customHeight="1">
      <c r="A35" s="528">
        <v>18</v>
      </c>
      <c r="B35" s="70" t="s">
        <v>46</v>
      </c>
      <c r="C35" s="518" t="s">
        <v>14</v>
      </c>
      <c r="D35" s="518" t="s">
        <v>247</v>
      </c>
    </row>
    <row r="36" spans="1:4" s="278" customFormat="1" ht="34.9" customHeight="1">
      <c r="A36" s="528">
        <v>19</v>
      </c>
      <c r="B36" s="70" t="s">
        <v>47</v>
      </c>
      <c r="C36" s="518" t="s">
        <v>26</v>
      </c>
      <c r="D36" s="518" t="s">
        <v>248</v>
      </c>
    </row>
    <row r="37" spans="1:4" s="278" customFormat="1" ht="34.9" customHeight="1">
      <c r="A37" s="528">
        <v>20</v>
      </c>
      <c r="B37" s="70" t="s">
        <v>48</v>
      </c>
      <c r="C37" s="518" t="s">
        <v>49</v>
      </c>
      <c r="D37" s="518" t="s">
        <v>249</v>
      </c>
    </row>
    <row r="38" spans="1:4" s="278" customFormat="1" ht="34.9" customHeight="1">
      <c r="A38" s="528">
        <v>21</v>
      </c>
      <c r="B38" s="70" t="s">
        <v>51</v>
      </c>
      <c r="C38" s="518" t="s">
        <v>52</v>
      </c>
      <c r="D38" s="518" t="s">
        <v>250</v>
      </c>
    </row>
    <row r="39" spans="1:4" s="278" customFormat="1" ht="49.5">
      <c r="A39" s="528">
        <v>22</v>
      </c>
      <c r="B39" s="70" t="s">
        <v>54</v>
      </c>
      <c r="C39" s="518" t="s">
        <v>55</v>
      </c>
      <c r="D39" s="518" t="s">
        <v>251</v>
      </c>
    </row>
    <row r="40" spans="1:4" s="278" customFormat="1" ht="34.9" customHeight="1">
      <c r="A40" s="528">
        <v>23</v>
      </c>
      <c r="B40" s="70" t="s">
        <v>56</v>
      </c>
      <c r="C40" s="518" t="s">
        <v>59</v>
      </c>
      <c r="D40" s="518" t="s">
        <v>252</v>
      </c>
    </row>
    <row r="41" spans="1:4" s="278" customFormat="1" ht="34.9" customHeight="1">
      <c r="A41" s="528">
        <v>24</v>
      </c>
      <c r="B41" s="70" t="s">
        <v>58</v>
      </c>
      <c r="C41" s="518" t="s">
        <v>57</v>
      </c>
      <c r="D41" s="518" t="s">
        <v>252</v>
      </c>
    </row>
    <row r="42" spans="1:4" s="278" customFormat="1" ht="33" customHeight="1">
      <c r="A42" s="527" t="s">
        <v>60</v>
      </c>
      <c r="B42" s="516" t="s">
        <v>61</v>
      </c>
      <c r="C42" s="517" t="s">
        <v>62</v>
      </c>
      <c r="D42" s="517"/>
    </row>
    <row r="43" spans="1:4" s="278" customFormat="1" ht="34.9" customHeight="1">
      <c r="A43" s="528">
        <v>25</v>
      </c>
      <c r="B43" s="70" t="s">
        <v>63</v>
      </c>
      <c r="C43" s="518" t="s">
        <v>64</v>
      </c>
      <c r="D43" s="518" t="s">
        <v>253</v>
      </c>
    </row>
    <row r="44" spans="1:4" s="278" customFormat="1" ht="33" customHeight="1">
      <c r="A44" s="527" t="s">
        <v>66</v>
      </c>
      <c r="B44" s="516" t="s">
        <v>67</v>
      </c>
      <c r="C44" s="517" t="s">
        <v>68</v>
      </c>
      <c r="D44" s="517"/>
    </row>
    <row r="45" spans="1:4" s="278" customFormat="1" ht="34.9" customHeight="1">
      <c r="A45" s="528">
        <v>26</v>
      </c>
      <c r="B45" s="70" t="s">
        <v>69</v>
      </c>
      <c r="C45" s="518" t="s">
        <v>254</v>
      </c>
      <c r="D45" s="518" t="s">
        <v>255</v>
      </c>
    </row>
    <row r="46" spans="1:4" s="278" customFormat="1" ht="34.9" customHeight="1">
      <c r="A46" s="528">
        <f>+A45+1</f>
        <v>27</v>
      </c>
      <c r="B46" s="70" t="s">
        <v>71</v>
      </c>
      <c r="C46" s="518" t="s">
        <v>256</v>
      </c>
      <c r="D46" s="518" t="s">
        <v>257</v>
      </c>
    </row>
    <row r="47" spans="1:4" s="278" customFormat="1" ht="34.9" customHeight="1">
      <c r="A47" s="528">
        <f t="shared" ref="A47:A52" si="0">+A46+1</f>
        <v>28</v>
      </c>
      <c r="B47" s="70" t="s">
        <v>73</v>
      </c>
      <c r="C47" s="518" t="s">
        <v>254</v>
      </c>
      <c r="D47" s="518" t="s">
        <v>258</v>
      </c>
    </row>
    <row r="48" spans="1:4" s="278" customFormat="1" ht="34.9" customHeight="1">
      <c r="A48" s="528">
        <f t="shared" si="0"/>
        <v>29</v>
      </c>
      <c r="B48" s="70" t="s">
        <v>75</v>
      </c>
      <c r="C48" s="518" t="s">
        <v>254</v>
      </c>
      <c r="D48" s="518" t="s">
        <v>259</v>
      </c>
    </row>
    <row r="49" spans="1:4" s="278" customFormat="1" ht="34.9" customHeight="1">
      <c r="A49" s="528">
        <f t="shared" si="0"/>
        <v>30</v>
      </c>
      <c r="B49" s="70" t="s">
        <v>77</v>
      </c>
      <c r="C49" s="518" t="s">
        <v>260</v>
      </c>
      <c r="D49" s="518" t="s">
        <v>261</v>
      </c>
    </row>
    <row r="50" spans="1:4" s="278" customFormat="1" ht="34.9" customHeight="1">
      <c r="A50" s="528">
        <f t="shared" si="0"/>
        <v>31</v>
      </c>
      <c r="B50" s="70" t="s">
        <v>79</v>
      </c>
      <c r="C50" s="518" t="s">
        <v>262</v>
      </c>
      <c r="D50" s="518" t="s">
        <v>263</v>
      </c>
    </row>
    <row r="51" spans="1:4" s="278" customFormat="1" ht="34.9" customHeight="1">
      <c r="A51" s="528">
        <f t="shared" si="0"/>
        <v>32</v>
      </c>
      <c r="B51" s="70" t="s">
        <v>81</v>
      </c>
      <c r="C51" s="518" t="s">
        <v>262</v>
      </c>
      <c r="D51" s="518" t="s">
        <v>264</v>
      </c>
    </row>
    <row r="52" spans="1:4" s="278" customFormat="1" ht="34.9" customHeight="1">
      <c r="A52" s="528">
        <f t="shared" si="0"/>
        <v>33</v>
      </c>
      <c r="B52" s="70" t="s">
        <v>83</v>
      </c>
      <c r="C52" s="518" t="s">
        <v>265</v>
      </c>
      <c r="D52" s="518" t="s">
        <v>266</v>
      </c>
    </row>
    <row r="53" spans="1:4" s="278" customFormat="1" ht="37.15" customHeight="1">
      <c r="A53" s="527" t="s">
        <v>86</v>
      </c>
      <c r="B53" s="516" t="s">
        <v>87</v>
      </c>
      <c r="C53" s="517" t="s">
        <v>88</v>
      </c>
      <c r="D53" s="517"/>
    </row>
    <row r="54" spans="1:4" s="278" customFormat="1" ht="24" customHeight="1">
      <c r="A54" s="355" t="s">
        <v>89</v>
      </c>
      <c r="B54" s="519" t="s">
        <v>90</v>
      </c>
      <c r="C54" s="529" t="s">
        <v>91</v>
      </c>
      <c r="D54" s="529"/>
    </row>
    <row r="55" spans="1:4" s="278" customFormat="1" ht="34.9" customHeight="1">
      <c r="A55" s="528">
        <v>34</v>
      </c>
      <c r="B55" s="70" t="s">
        <v>92</v>
      </c>
      <c r="C55" s="518" t="s">
        <v>93</v>
      </c>
      <c r="D55" s="518" t="s">
        <v>267</v>
      </c>
    </row>
    <row r="56" spans="1:4" s="278" customFormat="1" ht="34.9" customHeight="1">
      <c r="A56" s="528">
        <v>35</v>
      </c>
      <c r="B56" s="70" t="s">
        <v>94</v>
      </c>
      <c r="C56" s="518" t="s">
        <v>95</v>
      </c>
      <c r="D56" s="518" t="s">
        <v>268</v>
      </c>
    </row>
    <row r="57" spans="1:4" s="278" customFormat="1" ht="16.5">
      <c r="A57" s="355" t="s">
        <v>96</v>
      </c>
      <c r="B57" s="519" t="s">
        <v>97</v>
      </c>
      <c r="C57" s="529" t="s">
        <v>98</v>
      </c>
      <c r="D57" s="529"/>
    </row>
    <row r="58" spans="1:4" s="278" customFormat="1" ht="34.9" customHeight="1">
      <c r="A58" s="528">
        <v>36</v>
      </c>
      <c r="B58" s="70" t="s">
        <v>99</v>
      </c>
      <c r="C58" s="518" t="s">
        <v>100</v>
      </c>
      <c r="D58" s="518" t="s">
        <v>269</v>
      </c>
    </row>
    <row r="59" spans="1:4" s="278" customFormat="1" ht="34.9" customHeight="1">
      <c r="A59" s="528">
        <v>37</v>
      </c>
      <c r="B59" s="70" t="s">
        <v>101</v>
      </c>
      <c r="C59" s="518" t="s">
        <v>102</v>
      </c>
      <c r="D59" s="518" t="s">
        <v>269</v>
      </c>
    </row>
    <row r="60" spans="1:4" s="278" customFormat="1" ht="24" customHeight="1">
      <c r="A60" s="355" t="s">
        <v>103</v>
      </c>
      <c r="B60" s="519" t="s">
        <v>104</v>
      </c>
      <c r="C60" s="529" t="s">
        <v>105</v>
      </c>
      <c r="D60" s="529" t="s">
        <v>65</v>
      </c>
    </row>
    <row r="61" spans="1:4" s="278" customFormat="1" ht="34.9" customHeight="1">
      <c r="A61" s="528">
        <v>38</v>
      </c>
      <c r="B61" s="70" t="s">
        <v>106</v>
      </c>
      <c r="C61" s="518" t="s">
        <v>270</v>
      </c>
      <c r="D61" s="518" t="s">
        <v>269</v>
      </c>
    </row>
    <row r="62" spans="1:4" s="278" customFormat="1" ht="34.9" customHeight="1">
      <c r="A62" s="528">
        <v>39</v>
      </c>
      <c r="B62" s="70" t="s">
        <v>108</v>
      </c>
      <c r="C62" s="518" t="s">
        <v>271</v>
      </c>
      <c r="D62" s="518" t="s">
        <v>269</v>
      </c>
    </row>
    <row r="63" spans="1:4" s="278" customFormat="1" ht="34.9" customHeight="1">
      <c r="A63" s="528">
        <v>40</v>
      </c>
      <c r="B63" s="70" t="s">
        <v>110</v>
      </c>
      <c r="C63" s="518" t="s">
        <v>272</v>
      </c>
      <c r="D63" s="518" t="s">
        <v>273</v>
      </c>
    </row>
    <row r="64" spans="1:4" s="278" customFormat="1" ht="34.9" customHeight="1">
      <c r="A64" s="528">
        <v>41</v>
      </c>
      <c r="B64" s="70" t="s">
        <v>112</v>
      </c>
      <c r="C64" s="518" t="s">
        <v>274</v>
      </c>
      <c r="D64" s="518" t="s">
        <v>273</v>
      </c>
    </row>
    <row r="65" spans="1:4" s="278" customFormat="1" ht="34.9" customHeight="1">
      <c r="A65" s="528">
        <v>42</v>
      </c>
      <c r="B65" s="70" t="s">
        <v>114</v>
      </c>
      <c r="C65" s="518" t="s">
        <v>275</v>
      </c>
      <c r="D65" s="518" t="s">
        <v>273</v>
      </c>
    </row>
    <row r="66" spans="1:4" s="278" customFormat="1" ht="34.9" customHeight="1">
      <c r="A66" s="528">
        <v>43</v>
      </c>
      <c r="B66" s="70" t="s">
        <v>116</v>
      </c>
      <c r="C66" s="518" t="s">
        <v>276</v>
      </c>
      <c r="D66" s="518" t="s">
        <v>273</v>
      </c>
    </row>
    <row r="67" spans="1:4" s="278" customFormat="1" ht="34.9" customHeight="1">
      <c r="A67" s="528">
        <v>44</v>
      </c>
      <c r="B67" s="70" t="s">
        <v>118</v>
      </c>
      <c r="C67" s="518" t="s">
        <v>277</v>
      </c>
      <c r="D67" s="518" t="s">
        <v>273</v>
      </c>
    </row>
    <row r="68" spans="1:4" s="278" customFormat="1" ht="34.9" customHeight="1">
      <c r="A68" s="528">
        <v>45</v>
      </c>
      <c r="B68" s="70" t="s">
        <v>120</v>
      </c>
      <c r="C68" s="518" t="s">
        <v>278</v>
      </c>
      <c r="D68" s="518" t="s">
        <v>273</v>
      </c>
    </row>
    <row r="69" spans="1:4" s="278" customFormat="1" ht="24" customHeight="1">
      <c r="A69" s="355"/>
      <c r="B69" s="519" t="s">
        <v>122</v>
      </c>
      <c r="C69" s="529" t="s">
        <v>123</v>
      </c>
      <c r="D69" s="529"/>
    </row>
    <row r="70" spans="1:4" s="278" customFormat="1" ht="34.9" customHeight="1">
      <c r="A70" s="528">
        <v>46</v>
      </c>
      <c r="B70" s="70" t="s">
        <v>124</v>
      </c>
      <c r="C70" s="518" t="s">
        <v>125</v>
      </c>
      <c r="D70" s="518" t="s">
        <v>279</v>
      </c>
    </row>
    <row r="71" spans="1:4" s="278" customFormat="1" ht="34.9" customHeight="1">
      <c r="A71" s="528">
        <v>47</v>
      </c>
      <c r="B71" s="70" t="s">
        <v>127</v>
      </c>
      <c r="C71" s="518" t="s">
        <v>128</v>
      </c>
      <c r="D71" s="518" t="s">
        <v>280</v>
      </c>
    </row>
    <row r="72" spans="1:4" s="278" customFormat="1" ht="34.9" customHeight="1">
      <c r="A72" s="528">
        <v>48</v>
      </c>
      <c r="B72" s="70" t="s">
        <v>129</v>
      </c>
      <c r="C72" s="518" t="s">
        <v>130</v>
      </c>
      <c r="D72" s="518" t="s">
        <v>280</v>
      </c>
    </row>
    <row r="73" spans="1:4" s="278" customFormat="1" ht="34.9" customHeight="1">
      <c r="A73" s="528">
        <v>49</v>
      </c>
      <c r="B73" s="70" t="s">
        <v>131</v>
      </c>
      <c r="C73" s="518" t="s">
        <v>131</v>
      </c>
      <c r="D73" s="518"/>
    </row>
    <row r="74" spans="1:4" s="278" customFormat="1" ht="24" customHeight="1">
      <c r="A74" s="355"/>
      <c r="B74" s="519" t="s">
        <v>132</v>
      </c>
      <c r="C74" s="529" t="s">
        <v>133</v>
      </c>
      <c r="D74" s="529"/>
    </row>
    <row r="75" spans="1:4" s="278" customFormat="1" ht="34.9" customHeight="1">
      <c r="A75" s="528">
        <v>50</v>
      </c>
      <c r="B75" s="70" t="s">
        <v>134</v>
      </c>
      <c r="C75" s="518" t="s">
        <v>131</v>
      </c>
      <c r="D75" s="518" t="s">
        <v>281</v>
      </c>
    </row>
    <row r="76" spans="1:4" s="278" customFormat="1" ht="34.9" customHeight="1">
      <c r="A76" s="528">
        <v>51</v>
      </c>
      <c r="B76" s="70" t="s">
        <v>135</v>
      </c>
      <c r="C76" s="518" t="s">
        <v>131</v>
      </c>
      <c r="D76" s="518" t="s">
        <v>281</v>
      </c>
    </row>
    <row r="77" spans="1:4" s="278" customFormat="1" ht="24" customHeight="1">
      <c r="A77" s="355"/>
      <c r="B77" s="519" t="s">
        <v>136</v>
      </c>
      <c r="C77" s="529" t="s">
        <v>137</v>
      </c>
      <c r="D77" s="529"/>
    </row>
    <row r="78" spans="1:4" s="278" customFormat="1" ht="34.9" customHeight="1">
      <c r="A78" s="528">
        <v>52</v>
      </c>
      <c r="B78" s="70" t="s">
        <v>138</v>
      </c>
      <c r="C78" s="518" t="s">
        <v>139</v>
      </c>
      <c r="D78" s="518" t="s">
        <v>282</v>
      </c>
    </row>
    <row r="79" spans="1:4" s="278" customFormat="1" ht="34.9" customHeight="1">
      <c r="A79" s="528">
        <f>+A78+1</f>
        <v>53</v>
      </c>
      <c r="B79" s="70" t="s">
        <v>140</v>
      </c>
      <c r="C79" s="518" t="s">
        <v>141</v>
      </c>
      <c r="D79" s="518" t="s">
        <v>282</v>
      </c>
    </row>
    <row r="80" spans="1:4" s="278" customFormat="1" ht="34.9" customHeight="1">
      <c r="A80" s="528">
        <f t="shared" ref="A80:A85" si="1">+A79+1</f>
        <v>54</v>
      </c>
      <c r="B80" s="70" t="s">
        <v>142</v>
      </c>
      <c r="C80" s="518" t="s">
        <v>143</v>
      </c>
      <c r="D80" s="518" t="s">
        <v>282</v>
      </c>
    </row>
    <row r="81" spans="1:4" s="278" customFormat="1" ht="34.9" customHeight="1">
      <c r="A81" s="528">
        <f t="shared" si="1"/>
        <v>55</v>
      </c>
      <c r="B81" s="70" t="s">
        <v>144</v>
      </c>
      <c r="C81" s="518" t="s">
        <v>145</v>
      </c>
      <c r="D81" s="518" t="s">
        <v>282</v>
      </c>
    </row>
    <row r="82" spans="1:4" s="278" customFormat="1" ht="34.9" customHeight="1">
      <c r="A82" s="528">
        <f t="shared" si="1"/>
        <v>56</v>
      </c>
      <c r="B82" s="70" t="s">
        <v>146</v>
      </c>
      <c r="C82" s="518" t="s">
        <v>147</v>
      </c>
      <c r="D82" s="518" t="s">
        <v>282</v>
      </c>
    </row>
    <row r="83" spans="1:4" s="278" customFormat="1" ht="34.9" customHeight="1">
      <c r="A83" s="528">
        <f t="shared" si="1"/>
        <v>57</v>
      </c>
      <c r="B83" s="70" t="s">
        <v>148</v>
      </c>
      <c r="C83" s="518" t="s">
        <v>149</v>
      </c>
      <c r="D83" s="518" t="s">
        <v>282</v>
      </c>
    </row>
    <row r="84" spans="1:4" s="278" customFormat="1" ht="34.9" customHeight="1">
      <c r="A84" s="528">
        <f t="shared" si="1"/>
        <v>58</v>
      </c>
      <c r="B84" s="70" t="s">
        <v>150</v>
      </c>
      <c r="C84" s="518" t="s">
        <v>151</v>
      </c>
      <c r="D84" s="518" t="s">
        <v>282</v>
      </c>
    </row>
    <row r="85" spans="1:4" s="278" customFormat="1" ht="34.9" customHeight="1">
      <c r="A85" s="528">
        <f t="shared" si="1"/>
        <v>59</v>
      </c>
      <c r="B85" s="70" t="s">
        <v>152</v>
      </c>
      <c r="C85" s="518" t="s">
        <v>153</v>
      </c>
      <c r="D85" s="518" t="s">
        <v>282</v>
      </c>
    </row>
    <row r="86" spans="1:4" s="278" customFormat="1" ht="34.9" customHeight="1">
      <c r="A86" s="528"/>
      <c r="B86" s="70" t="s">
        <v>154</v>
      </c>
      <c r="C86" s="518" t="s">
        <v>155</v>
      </c>
      <c r="D86" s="518" t="s">
        <v>281</v>
      </c>
    </row>
    <row r="87" spans="1:4" s="278" customFormat="1" ht="24" customHeight="1">
      <c r="A87" s="355"/>
      <c r="B87" s="519" t="s">
        <v>156</v>
      </c>
      <c r="C87" s="529" t="s">
        <v>157</v>
      </c>
      <c r="D87" s="529"/>
    </row>
    <row r="88" spans="1:4" s="278" customFormat="1" ht="34.9" customHeight="1">
      <c r="A88" s="528">
        <v>60</v>
      </c>
      <c r="B88" s="70" t="s">
        <v>158</v>
      </c>
      <c r="C88" s="518" t="s">
        <v>131</v>
      </c>
      <c r="D88" s="518" t="s">
        <v>282</v>
      </c>
    </row>
    <row r="89" spans="1:4" s="278" customFormat="1" ht="34.9" customHeight="1">
      <c r="A89" s="528">
        <v>61</v>
      </c>
      <c r="B89" s="70" t="s">
        <v>159</v>
      </c>
      <c r="C89" s="518" t="s">
        <v>131</v>
      </c>
      <c r="D89" s="518" t="s">
        <v>282</v>
      </c>
    </row>
    <row r="90" spans="1:4" s="278" customFormat="1" ht="24" customHeight="1">
      <c r="A90" s="355"/>
      <c r="B90" s="519" t="s">
        <v>160</v>
      </c>
      <c r="C90" s="529" t="s">
        <v>161</v>
      </c>
      <c r="D90" s="529"/>
    </row>
    <row r="91" spans="1:4" s="278" customFormat="1" ht="34.9" customHeight="1">
      <c r="A91" s="528">
        <v>62</v>
      </c>
      <c r="B91" s="70" t="s">
        <v>162</v>
      </c>
      <c r="C91" s="518" t="s">
        <v>163</v>
      </c>
      <c r="D91" s="518" t="s">
        <v>282</v>
      </c>
    </row>
    <row r="92" spans="1:4" s="278" customFormat="1" ht="34.9" customHeight="1">
      <c r="A92" s="528">
        <v>63</v>
      </c>
      <c r="B92" s="70" t="s">
        <v>164</v>
      </c>
      <c r="C92" s="518" t="s">
        <v>165</v>
      </c>
      <c r="D92" s="518" t="s">
        <v>282</v>
      </c>
    </row>
    <row r="93" spans="1:4" s="278" customFormat="1" ht="34.9" customHeight="1">
      <c r="A93" s="528"/>
      <c r="B93" s="70" t="s">
        <v>131</v>
      </c>
      <c r="C93" s="518" t="s">
        <v>131</v>
      </c>
      <c r="D93" s="518" t="s">
        <v>282</v>
      </c>
    </row>
    <row r="94" spans="1:4" s="278" customFormat="1" ht="24" customHeight="1">
      <c r="A94" s="355"/>
      <c r="B94" s="519" t="s">
        <v>166</v>
      </c>
      <c r="C94" s="529" t="s">
        <v>167</v>
      </c>
      <c r="D94" s="529" t="s">
        <v>65</v>
      </c>
    </row>
    <row r="95" spans="1:4" s="278" customFormat="1" ht="34.9" customHeight="1">
      <c r="A95" s="528">
        <v>64</v>
      </c>
      <c r="B95" s="70" t="s">
        <v>168</v>
      </c>
      <c r="C95" s="518" t="s">
        <v>131</v>
      </c>
      <c r="D95" s="518" t="s">
        <v>282</v>
      </c>
    </row>
    <row r="96" spans="1:4" s="278" customFormat="1" ht="34.9" customHeight="1">
      <c r="A96" s="528">
        <v>65</v>
      </c>
      <c r="B96" s="70" t="s">
        <v>169</v>
      </c>
      <c r="C96" s="518" t="s">
        <v>131</v>
      </c>
      <c r="D96" s="518" t="s">
        <v>282</v>
      </c>
    </row>
    <row r="97" spans="1:4" s="278" customFormat="1" ht="24" customHeight="1">
      <c r="A97" s="355"/>
      <c r="B97" s="519" t="s">
        <v>170</v>
      </c>
      <c r="C97" s="529" t="s">
        <v>171</v>
      </c>
      <c r="D97" s="529" t="s">
        <v>65</v>
      </c>
    </row>
    <row r="98" spans="1:4" s="278" customFormat="1" ht="34.9" customHeight="1">
      <c r="A98" s="528"/>
      <c r="B98" s="70" t="s">
        <v>172</v>
      </c>
      <c r="C98" s="518" t="s">
        <v>131</v>
      </c>
      <c r="D98" s="518" t="s">
        <v>283</v>
      </c>
    </row>
    <row r="99" spans="1:4" s="278" customFormat="1" ht="34.9" customHeight="1">
      <c r="A99" s="528"/>
      <c r="B99" s="70" t="s">
        <v>173</v>
      </c>
      <c r="C99" s="518" t="s">
        <v>131</v>
      </c>
      <c r="D99" s="518" t="s">
        <v>283</v>
      </c>
    </row>
    <row r="100" spans="1:4" s="278" customFormat="1" ht="24" customHeight="1">
      <c r="A100" s="355"/>
      <c r="B100" s="519" t="s">
        <v>174</v>
      </c>
      <c r="C100" s="529" t="s">
        <v>175</v>
      </c>
      <c r="D100" s="529" t="s">
        <v>65</v>
      </c>
    </row>
    <row r="101" spans="1:4" s="278" customFormat="1" ht="34.9" customHeight="1">
      <c r="A101" s="528"/>
      <c r="B101" s="70" t="s">
        <v>176</v>
      </c>
      <c r="C101" s="518" t="s">
        <v>177</v>
      </c>
      <c r="D101" s="518" t="s">
        <v>282</v>
      </c>
    </row>
    <row r="102" spans="1:4" s="278" customFormat="1" ht="34.9" customHeight="1">
      <c r="A102" s="528"/>
      <c r="B102" s="70" t="s">
        <v>178</v>
      </c>
      <c r="C102" s="518" t="s">
        <v>179</v>
      </c>
      <c r="D102" s="518" t="s">
        <v>282</v>
      </c>
    </row>
    <row r="103" spans="1:4" s="278" customFormat="1" ht="34.9" customHeight="1">
      <c r="A103" s="528"/>
      <c r="B103" s="70" t="s">
        <v>180</v>
      </c>
      <c r="C103" s="518" t="s">
        <v>181</v>
      </c>
      <c r="D103" s="518" t="s">
        <v>283</v>
      </c>
    </row>
    <row r="104" spans="1:4" s="278" customFormat="1" ht="34.9" customHeight="1">
      <c r="A104" s="528"/>
      <c r="B104" s="70" t="s">
        <v>182</v>
      </c>
      <c r="C104" s="518" t="s">
        <v>183</v>
      </c>
      <c r="D104" s="518" t="s">
        <v>283</v>
      </c>
    </row>
    <row r="105" spans="1:4" s="278" customFormat="1" ht="34.9" customHeight="1">
      <c r="A105" s="528"/>
      <c r="B105" s="70" t="s">
        <v>184</v>
      </c>
      <c r="C105" s="518" t="s">
        <v>185</v>
      </c>
      <c r="D105" s="518" t="s">
        <v>283</v>
      </c>
    </row>
    <row r="106" spans="1:4" s="278" customFormat="1" ht="34.9" customHeight="1">
      <c r="A106" s="528"/>
      <c r="B106" s="70" t="s">
        <v>131</v>
      </c>
      <c r="C106" s="518" t="s">
        <v>131</v>
      </c>
      <c r="D106" s="518" t="s">
        <v>283</v>
      </c>
    </row>
    <row r="107" spans="1:4" s="278" customFormat="1" ht="45" customHeight="1">
      <c r="A107" s="355"/>
      <c r="B107" s="519" t="s">
        <v>186</v>
      </c>
      <c r="C107" s="529" t="s">
        <v>187</v>
      </c>
      <c r="D107" s="529" t="s">
        <v>187</v>
      </c>
    </row>
    <row r="108" spans="1:4" s="278" customFormat="1" ht="34.9" customHeight="1">
      <c r="A108" s="528"/>
      <c r="B108" s="70" t="s">
        <v>188</v>
      </c>
      <c r="C108" s="518" t="s">
        <v>189</v>
      </c>
      <c r="D108" s="518" t="s">
        <v>284</v>
      </c>
    </row>
    <row r="109" spans="1:4" s="278" customFormat="1" ht="34.9" customHeight="1">
      <c r="A109" s="528"/>
      <c r="B109" s="70" t="s">
        <v>190</v>
      </c>
      <c r="C109" s="518" t="s">
        <v>191</v>
      </c>
      <c r="D109" s="518" t="s">
        <v>285</v>
      </c>
    </row>
    <row r="110" spans="1:4" s="278" customFormat="1" ht="34.9" customHeight="1">
      <c r="A110" s="528"/>
      <c r="B110" s="70" t="s">
        <v>131</v>
      </c>
      <c r="C110" s="518" t="s">
        <v>131</v>
      </c>
      <c r="D110" s="518" t="s">
        <v>131</v>
      </c>
    </row>
    <row r="111" spans="1:4" s="278" customFormat="1" ht="39" customHeight="1">
      <c r="A111" s="355"/>
      <c r="B111" s="519" t="s">
        <v>192</v>
      </c>
      <c r="C111" s="529" t="s">
        <v>193</v>
      </c>
      <c r="D111" s="529" t="s">
        <v>286</v>
      </c>
    </row>
    <row r="112" spans="1:4" s="278" customFormat="1">
      <c r="A112" s="528"/>
      <c r="B112" s="70" t="s">
        <v>131</v>
      </c>
      <c r="C112" s="518" t="s">
        <v>131</v>
      </c>
      <c r="D112" s="518"/>
    </row>
    <row r="113" spans="1:4" s="278" customFormat="1" ht="60.6" customHeight="1">
      <c r="A113" s="355"/>
      <c r="B113" s="519" t="s">
        <v>194</v>
      </c>
      <c r="C113" s="529" t="s">
        <v>195</v>
      </c>
      <c r="D113" s="529" t="s">
        <v>287</v>
      </c>
    </row>
    <row r="114" spans="1:4" s="278" customFormat="1">
      <c r="A114" s="528"/>
      <c r="B114" s="70" t="s">
        <v>131</v>
      </c>
      <c r="C114" s="518" t="s">
        <v>131</v>
      </c>
      <c r="D114" s="518"/>
    </row>
    <row r="115" spans="1:4" s="278" customFormat="1" ht="81" customHeight="1">
      <c r="A115" s="355"/>
      <c r="B115" s="519" t="s">
        <v>196</v>
      </c>
      <c r="C115" s="529" t="s">
        <v>197</v>
      </c>
      <c r="D115" s="529" t="s">
        <v>288</v>
      </c>
    </row>
    <row r="116" spans="1:4" s="278" customFormat="1" ht="40.9" customHeight="1">
      <c r="A116" s="530"/>
      <c r="B116" s="70" t="s">
        <v>198</v>
      </c>
      <c r="C116" s="518" t="s">
        <v>199</v>
      </c>
      <c r="D116" s="518" t="s">
        <v>289</v>
      </c>
    </row>
    <row r="117" spans="1:4" s="278" customFormat="1" ht="40.9" customHeight="1">
      <c r="A117" s="530"/>
      <c r="B117" s="70" t="s">
        <v>131</v>
      </c>
      <c r="C117" s="518" t="s">
        <v>131</v>
      </c>
      <c r="D117" s="518" t="s">
        <v>290</v>
      </c>
    </row>
    <row r="118" spans="1:4" s="278" customFormat="1" ht="51.6" customHeight="1">
      <c r="A118" s="355"/>
      <c r="B118" s="519" t="s">
        <v>200</v>
      </c>
      <c r="C118" s="529" t="s">
        <v>201</v>
      </c>
      <c r="D118" s="529" t="s">
        <v>291</v>
      </c>
    </row>
    <row r="119" spans="1:4" s="278" customFormat="1">
      <c r="A119" s="528"/>
      <c r="B119" s="70" t="s">
        <v>131</v>
      </c>
      <c r="C119" s="518" t="s">
        <v>131</v>
      </c>
      <c r="D119" s="518"/>
    </row>
    <row r="120" spans="1:4" s="278" customFormat="1" ht="82.5">
      <c r="A120" s="355"/>
      <c r="B120" s="519" t="s">
        <v>202</v>
      </c>
      <c r="C120" s="529" t="s">
        <v>292</v>
      </c>
      <c r="D120" s="529" t="s">
        <v>293</v>
      </c>
    </row>
    <row r="121" spans="1:4" s="278" customFormat="1">
      <c r="A121" s="528"/>
      <c r="B121" s="70" t="s">
        <v>131</v>
      </c>
      <c r="C121" s="518" t="s">
        <v>131</v>
      </c>
      <c r="D121" s="518"/>
    </row>
    <row r="122" spans="1:4" s="278" customFormat="1" ht="51.6" customHeight="1">
      <c r="A122" s="355"/>
      <c r="B122" s="519" t="s">
        <v>204</v>
      </c>
      <c r="C122" s="529" t="s">
        <v>131</v>
      </c>
      <c r="D122" s="529"/>
    </row>
    <row r="123" spans="1:4" s="278" customFormat="1" ht="37.15" customHeight="1">
      <c r="A123" s="527" t="s">
        <v>205</v>
      </c>
      <c r="B123" s="516" t="s">
        <v>206</v>
      </c>
      <c r="C123" s="517" t="s">
        <v>294</v>
      </c>
      <c r="D123" s="517" t="s">
        <v>295</v>
      </c>
    </row>
    <row r="124" spans="1:4" s="278" customFormat="1" ht="66" customHeight="1">
      <c r="A124" s="530"/>
      <c r="B124" s="70" t="s">
        <v>208</v>
      </c>
      <c r="C124" s="518" t="s">
        <v>209</v>
      </c>
      <c r="D124" s="518" t="s">
        <v>209</v>
      </c>
    </row>
    <row r="125" spans="1:4" s="278" customFormat="1" ht="45.6" customHeight="1">
      <c r="A125" s="527" t="s">
        <v>296</v>
      </c>
      <c r="B125" s="516" t="s">
        <v>297</v>
      </c>
      <c r="C125" s="517" t="s">
        <v>298</v>
      </c>
      <c r="D125" s="517" t="s">
        <v>299</v>
      </c>
    </row>
    <row r="126" spans="1:4" s="278" customFormat="1" ht="66" customHeight="1">
      <c r="A126" s="530"/>
      <c r="B126" s="70" t="s">
        <v>300</v>
      </c>
      <c r="C126" s="518" t="s">
        <v>298</v>
      </c>
      <c r="D126" s="518" t="s">
        <v>301</v>
      </c>
    </row>
    <row r="127" spans="1:4" ht="16.5">
      <c r="A127" s="699" t="s">
        <v>302</v>
      </c>
      <c r="B127" s="699"/>
      <c r="C127" s="699"/>
      <c r="D127" s="699"/>
    </row>
    <row r="128" spans="1:4" s="1" customFormat="1" ht="18" customHeight="1">
      <c r="A128" s="700" t="s">
        <v>303</v>
      </c>
      <c r="B128" s="700"/>
      <c r="C128" s="700"/>
      <c r="D128" s="700"/>
    </row>
    <row r="129" spans="1:4" s="1" customFormat="1" ht="18" customHeight="1">
      <c r="A129" s="700" t="s">
        <v>304</v>
      </c>
      <c r="B129" s="700"/>
      <c r="C129" s="700"/>
      <c r="D129" s="700"/>
    </row>
    <row r="130" spans="1:4" s="1" customFormat="1" ht="18" customHeight="1">
      <c r="A130" s="700" t="s">
        <v>305</v>
      </c>
      <c r="B130" s="700"/>
      <c r="C130" s="700"/>
      <c r="D130" s="700"/>
    </row>
    <row r="131" spans="1:4" s="1" customFormat="1" ht="18" customHeight="1">
      <c r="A131" s="700" t="s">
        <v>306</v>
      </c>
      <c r="B131" s="700"/>
      <c r="C131" s="700"/>
      <c r="D131" s="700"/>
    </row>
  </sheetData>
  <mergeCells count="20">
    <mergeCell ref="A1:B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127:D127"/>
    <mergeCell ref="A128:D128"/>
    <mergeCell ref="A129:D129"/>
    <mergeCell ref="A130:D130"/>
    <mergeCell ref="A131:D131"/>
  </mergeCells>
  <pageMargins left="0.78740157480314998" right="0.59055118110236204" top="0.78740157480314998" bottom="0.78740157480314998"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90"/>
  <sheetViews>
    <sheetView zoomScale="80" zoomScaleNormal="80" workbookViewId="0">
      <pane ySplit="1" topLeftCell="A37" activePane="bottomLeft" state="frozen"/>
      <selection pane="bottomLeft" activeCell="B89" sqref="B89"/>
    </sheetView>
  </sheetViews>
  <sheetFormatPr defaultColWidth="8.85546875" defaultRowHeight="15.75"/>
  <cols>
    <col min="1" max="1" width="15.42578125" style="506" customWidth="1"/>
    <col min="2" max="2" width="40.5703125" style="506" customWidth="1"/>
    <col min="3" max="3" width="15.5703125" style="507" customWidth="1"/>
    <col min="4" max="4" width="22.85546875" style="507" customWidth="1"/>
    <col min="5" max="5" width="20.28515625" style="507" customWidth="1"/>
    <col min="6" max="6" width="20.140625" style="508" customWidth="1"/>
    <col min="7" max="8" width="13.5703125" style="507" customWidth="1"/>
    <col min="9" max="9" width="23.28515625" style="507" customWidth="1"/>
    <col min="10" max="10" width="32.7109375" style="507" customWidth="1"/>
    <col min="11" max="11" width="31.7109375" style="507" customWidth="1"/>
    <col min="12" max="13" width="13.140625" style="507" customWidth="1"/>
    <col min="14" max="16384" width="8.85546875" style="507"/>
  </cols>
  <sheetData>
    <row r="1" spans="1:13" ht="79.150000000000006" customHeight="1">
      <c r="A1" s="712"/>
      <c r="B1" s="713"/>
      <c r="C1" s="714" t="s">
        <v>307</v>
      </c>
      <c r="D1" s="715"/>
      <c r="E1" s="715"/>
      <c r="F1" s="715"/>
      <c r="G1" s="715"/>
      <c r="H1" s="715"/>
      <c r="I1" s="715"/>
      <c r="J1" s="715"/>
      <c r="K1" s="716"/>
      <c r="L1" s="714" t="s">
        <v>1103</v>
      </c>
      <c r="M1" s="716"/>
    </row>
    <row r="2" spans="1:13" ht="100.9" customHeight="1">
      <c r="A2" s="509" t="s">
        <v>308</v>
      </c>
      <c r="B2" s="510"/>
      <c r="C2" s="510" t="s">
        <v>309</v>
      </c>
      <c r="D2" s="510" t="s">
        <v>310</v>
      </c>
      <c r="E2" s="510" t="s">
        <v>311</v>
      </c>
      <c r="F2" s="510" t="s">
        <v>312</v>
      </c>
      <c r="G2" s="510" t="s">
        <v>313</v>
      </c>
      <c r="H2" s="510" t="s">
        <v>314</v>
      </c>
      <c r="I2" s="510" t="s">
        <v>315</v>
      </c>
      <c r="J2" s="510" t="s">
        <v>316</v>
      </c>
      <c r="K2" s="510" t="s">
        <v>317</v>
      </c>
      <c r="L2" s="719" t="s">
        <v>318</v>
      </c>
      <c r="M2" s="722" t="s">
        <v>319</v>
      </c>
    </row>
    <row r="3" spans="1:13" ht="40.9" customHeight="1">
      <c r="A3" s="717" t="s">
        <v>320</v>
      </c>
      <c r="B3" s="718"/>
      <c r="C3" s="511">
        <v>0.2</v>
      </c>
      <c r="D3" s="512">
        <v>0.15</v>
      </c>
      <c r="E3" s="512">
        <v>0.1</v>
      </c>
      <c r="F3" s="513">
        <v>0.05</v>
      </c>
      <c r="G3" s="512">
        <v>0.1</v>
      </c>
      <c r="H3" s="512">
        <v>0.1</v>
      </c>
      <c r="I3" s="512">
        <v>0.15</v>
      </c>
      <c r="J3" s="512">
        <v>0.1</v>
      </c>
      <c r="K3" s="512">
        <v>0.05</v>
      </c>
      <c r="L3" s="720"/>
      <c r="M3" s="723"/>
    </row>
    <row r="4" spans="1:13" ht="49.5">
      <c r="A4" s="725" t="s">
        <v>321</v>
      </c>
      <c r="B4" s="726"/>
      <c r="C4" s="514" t="s">
        <v>322</v>
      </c>
      <c r="D4" s="514" t="s">
        <v>322</v>
      </c>
      <c r="E4" s="514" t="s">
        <v>322</v>
      </c>
      <c r="F4" s="514" t="s">
        <v>323</v>
      </c>
      <c r="G4" s="514" t="s">
        <v>324</v>
      </c>
      <c r="H4" s="514" t="s">
        <v>325</v>
      </c>
      <c r="I4" s="514" t="s">
        <v>326</v>
      </c>
      <c r="J4" s="514" t="s">
        <v>327</v>
      </c>
      <c r="K4" s="521" t="s">
        <v>328</v>
      </c>
      <c r="L4" s="720"/>
      <c r="M4" s="723"/>
    </row>
    <row r="5" spans="1:13" ht="82.5">
      <c r="A5" s="725"/>
      <c r="B5" s="726"/>
      <c r="C5" s="514" t="s">
        <v>329</v>
      </c>
      <c r="D5" s="514" t="s">
        <v>329</v>
      </c>
      <c r="E5" s="514" t="s">
        <v>329</v>
      </c>
      <c r="F5" s="514" t="s">
        <v>330</v>
      </c>
      <c r="G5" s="514" t="s">
        <v>331</v>
      </c>
      <c r="H5" s="514" t="s">
        <v>332</v>
      </c>
      <c r="I5" s="514" t="s">
        <v>333</v>
      </c>
      <c r="J5" s="514" t="s">
        <v>334</v>
      </c>
      <c r="K5" s="521" t="s">
        <v>335</v>
      </c>
      <c r="L5" s="720"/>
      <c r="M5" s="723"/>
    </row>
    <row r="6" spans="1:13" ht="49.5">
      <c r="A6" s="725"/>
      <c r="B6" s="726"/>
      <c r="C6" s="514" t="s">
        <v>336</v>
      </c>
      <c r="D6" s="514" t="s">
        <v>336</v>
      </c>
      <c r="E6" s="514" t="s">
        <v>336</v>
      </c>
      <c r="F6" s="514" t="s">
        <v>337</v>
      </c>
      <c r="G6" s="514" t="s">
        <v>338</v>
      </c>
      <c r="H6" s="514" t="s">
        <v>339</v>
      </c>
      <c r="I6" s="514" t="s">
        <v>340</v>
      </c>
      <c r="J6" s="514" t="s">
        <v>341</v>
      </c>
      <c r="K6" s="521" t="s">
        <v>342</v>
      </c>
      <c r="L6" s="721"/>
      <c r="M6" s="724"/>
    </row>
    <row r="7" spans="1:13" ht="61.9" customHeight="1">
      <c r="A7" s="67" t="s">
        <v>343</v>
      </c>
      <c r="B7" s="67" t="s">
        <v>344</v>
      </c>
      <c r="C7" s="515"/>
      <c r="D7" s="515"/>
      <c r="E7" s="515"/>
      <c r="F7" s="515"/>
      <c r="G7" s="515"/>
      <c r="H7" s="515"/>
      <c r="I7" s="515"/>
      <c r="J7" s="515"/>
      <c r="K7" s="522"/>
      <c r="L7" s="67"/>
      <c r="M7" s="365"/>
    </row>
    <row r="8" spans="1:13" ht="33">
      <c r="A8" s="516" t="s">
        <v>67</v>
      </c>
      <c r="B8" s="517" t="s">
        <v>68</v>
      </c>
      <c r="C8" s="516"/>
      <c r="D8" s="516"/>
      <c r="E8" s="516"/>
      <c r="F8" s="516"/>
      <c r="G8" s="516"/>
      <c r="H8" s="516"/>
      <c r="I8" s="516"/>
      <c r="J8" s="516"/>
      <c r="K8" s="516"/>
      <c r="L8" s="516"/>
      <c r="M8" s="516"/>
    </row>
    <row r="9" spans="1:13" ht="31.15" customHeight="1">
      <c r="A9" s="70" t="s">
        <v>69</v>
      </c>
      <c r="B9" s="518" t="s">
        <v>254</v>
      </c>
      <c r="C9" s="71">
        <v>1</v>
      </c>
      <c r="D9" s="71">
        <v>1</v>
      </c>
      <c r="E9" s="71">
        <v>1</v>
      </c>
      <c r="F9" s="70">
        <v>1</v>
      </c>
      <c r="G9" s="71">
        <v>3</v>
      </c>
      <c r="H9" s="71">
        <v>1</v>
      </c>
      <c r="I9" s="71">
        <v>2</v>
      </c>
      <c r="J9" s="71">
        <v>2</v>
      </c>
      <c r="K9" s="71">
        <v>1</v>
      </c>
      <c r="L9" s="71">
        <f t="shared" ref="L9:L16" si="0">+SUMPRODUCT($C$3:$K$3,C9:K9)</f>
        <v>1.45</v>
      </c>
      <c r="M9" s="71" t="str">
        <f t="shared" ref="M9:M16" si="1">+IF(L9&gt;=1.6,"YES","NO")</f>
        <v>NO</v>
      </c>
    </row>
    <row r="10" spans="1:13" ht="38.25" customHeight="1">
      <c r="A10" s="70" t="s">
        <v>71</v>
      </c>
      <c r="B10" s="518" t="s">
        <v>256</v>
      </c>
      <c r="C10" s="71">
        <v>1</v>
      </c>
      <c r="D10" s="71">
        <v>1</v>
      </c>
      <c r="E10" s="71">
        <v>1</v>
      </c>
      <c r="F10" s="70">
        <v>1</v>
      </c>
      <c r="G10" s="71">
        <v>3</v>
      </c>
      <c r="H10" s="71">
        <v>1</v>
      </c>
      <c r="I10" s="71">
        <v>2</v>
      </c>
      <c r="J10" s="71">
        <v>2</v>
      </c>
      <c r="K10" s="71">
        <v>1</v>
      </c>
      <c r="L10" s="71">
        <f t="shared" si="0"/>
        <v>1.45</v>
      </c>
      <c r="M10" s="71" t="str">
        <f t="shared" si="1"/>
        <v>NO</v>
      </c>
    </row>
    <row r="11" spans="1:13" ht="30" customHeight="1">
      <c r="A11" s="70" t="s">
        <v>73</v>
      </c>
      <c r="B11" s="518" t="s">
        <v>254</v>
      </c>
      <c r="C11" s="71">
        <v>1</v>
      </c>
      <c r="D11" s="71">
        <v>1</v>
      </c>
      <c r="E11" s="71">
        <v>1</v>
      </c>
      <c r="F11" s="70">
        <v>1</v>
      </c>
      <c r="G11" s="71">
        <v>3</v>
      </c>
      <c r="H11" s="71">
        <v>1</v>
      </c>
      <c r="I11" s="71">
        <v>2</v>
      </c>
      <c r="J11" s="71">
        <v>2</v>
      </c>
      <c r="K11" s="71">
        <v>1</v>
      </c>
      <c r="L11" s="71">
        <f t="shared" si="0"/>
        <v>1.45</v>
      </c>
      <c r="M11" s="71" t="str">
        <f t="shared" si="1"/>
        <v>NO</v>
      </c>
    </row>
    <row r="12" spans="1:13" ht="30" customHeight="1">
      <c r="A12" s="70" t="s">
        <v>75</v>
      </c>
      <c r="B12" s="518" t="s">
        <v>254</v>
      </c>
      <c r="C12" s="71">
        <v>1</v>
      </c>
      <c r="D12" s="71">
        <v>1</v>
      </c>
      <c r="E12" s="71">
        <v>1</v>
      </c>
      <c r="F12" s="70">
        <v>1</v>
      </c>
      <c r="G12" s="71">
        <v>3</v>
      </c>
      <c r="H12" s="71">
        <v>1</v>
      </c>
      <c r="I12" s="71">
        <v>2</v>
      </c>
      <c r="J12" s="71">
        <v>2</v>
      </c>
      <c r="K12" s="71">
        <v>1</v>
      </c>
      <c r="L12" s="71">
        <f t="shared" si="0"/>
        <v>1.45</v>
      </c>
      <c r="M12" s="71" t="str">
        <f t="shared" si="1"/>
        <v>NO</v>
      </c>
    </row>
    <row r="13" spans="1:13" ht="30" customHeight="1">
      <c r="A13" s="70" t="s">
        <v>77</v>
      </c>
      <c r="B13" s="518" t="s">
        <v>260</v>
      </c>
      <c r="C13" s="71">
        <v>1</v>
      </c>
      <c r="D13" s="71">
        <v>1</v>
      </c>
      <c r="E13" s="71">
        <v>1</v>
      </c>
      <c r="F13" s="70">
        <v>1</v>
      </c>
      <c r="G13" s="71">
        <v>3</v>
      </c>
      <c r="H13" s="71">
        <v>1</v>
      </c>
      <c r="I13" s="71">
        <v>2</v>
      </c>
      <c r="J13" s="71">
        <v>2</v>
      </c>
      <c r="K13" s="71">
        <v>1</v>
      </c>
      <c r="L13" s="71">
        <f t="shared" si="0"/>
        <v>1.45</v>
      </c>
      <c r="M13" s="71" t="str">
        <f t="shared" si="1"/>
        <v>NO</v>
      </c>
    </row>
    <row r="14" spans="1:13" ht="33">
      <c r="A14" s="70" t="s">
        <v>79</v>
      </c>
      <c r="B14" s="518" t="s">
        <v>262</v>
      </c>
      <c r="C14" s="71">
        <v>1</v>
      </c>
      <c r="D14" s="71">
        <v>1</v>
      </c>
      <c r="E14" s="71">
        <v>1</v>
      </c>
      <c r="F14" s="70">
        <v>1</v>
      </c>
      <c r="G14" s="71">
        <v>3</v>
      </c>
      <c r="H14" s="71">
        <v>1</v>
      </c>
      <c r="I14" s="71">
        <v>2</v>
      </c>
      <c r="J14" s="71">
        <v>2</v>
      </c>
      <c r="K14" s="71">
        <v>1</v>
      </c>
      <c r="L14" s="71">
        <f t="shared" si="0"/>
        <v>1.45</v>
      </c>
      <c r="M14" s="71" t="str">
        <f t="shared" si="1"/>
        <v>NO</v>
      </c>
    </row>
    <row r="15" spans="1:13" ht="33">
      <c r="A15" s="70" t="s">
        <v>81</v>
      </c>
      <c r="B15" s="518" t="s">
        <v>262</v>
      </c>
      <c r="C15" s="71">
        <v>1</v>
      </c>
      <c r="D15" s="71">
        <v>1</v>
      </c>
      <c r="E15" s="71">
        <v>1</v>
      </c>
      <c r="F15" s="70">
        <v>1</v>
      </c>
      <c r="G15" s="71">
        <v>3</v>
      </c>
      <c r="H15" s="71">
        <v>1</v>
      </c>
      <c r="I15" s="71">
        <v>2</v>
      </c>
      <c r="J15" s="71">
        <v>2</v>
      </c>
      <c r="K15" s="71">
        <v>1</v>
      </c>
      <c r="L15" s="71">
        <f t="shared" si="0"/>
        <v>1.45</v>
      </c>
      <c r="M15" s="71" t="str">
        <f t="shared" si="1"/>
        <v>NO</v>
      </c>
    </row>
    <row r="16" spans="1:13" ht="33">
      <c r="A16" s="70" t="s">
        <v>83</v>
      </c>
      <c r="B16" s="518" t="s">
        <v>265</v>
      </c>
      <c r="C16" s="71">
        <v>1</v>
      </c>
      <c r="D16" s="71">
        <v>1</v>
      </c>
      <c r="E16" s="71">
        <v>1</v>
      </c>
      <c r="F16" s="70">
        <v>1</v>
      </c>
      <c r="G16" s="71">
        <v>3</v>
      </c>
      <c r="H16" s="71">
        <v>1</v>
      </c>
      <c r="I16" s="71">
        <v>2</v>
      </c>
      <c r="J16" s="71">
        <v>2</v>
      </c>
      <c r="K16" s="71">
        <v>1</v>
      </c>
      <c r="L16" s="71">
        <f t="shared" si="0"/>
        <v>1.45</v>
      </c>
      <c r="M16" s="71" t="str">
        <f t="shared" si="1"/>
        <v>NO</v>
      </c>
    </row>
    <row r="17" spans="1:13" ht="33">
      <c r="A17" s="516" t="s">
        <v>87</v>
      </c>
      <c r="B17" s="517" t="s">
        <v>88</v>
      </c>
      <c r="C17" s="516"/>
      <c r="D17" s="516"/>
      <c r="E17" s="516"/>
      <c r="F17" s="516"/>
      <c r="G17" s="516"/>
      <c r="H17" s="516"/>
      <c r="I17" s="516"/>
      <c r="J17" s="516"/>
      <c r="K17" s="516"/>
      <c r="L17" s="516"/>
      <c r="M17" s="516"/>
    </row>
    <row r="18" spans="1:13" ht="39.6" customHeight="1">
      <c r="A18" s="519" t="s">
        <v>90</v>
      </c>
      <c r="B18" s="520" t="s">
        <v>91</v>
      </c>
      <c r="C18" s="519"/>
      <c r="D18" s="519"/>
      <c r="E18" s="519"/>
      <c r="F18" s="519"/>
      <c r="G18" s="519"/>
      <c r="H18" s="519"/>
      <c r="I18" s="519"/>
      <c r="J18" s="519"/>
      <c r="K18" s="519"/>
      <c r="L18" s="519"/>
      <c r="M18" s="519"/>
    </row>
    <row r="19" spans="1:13" ht="33">
      <c r="A19" s="70" t="s">
        <v>92</v>
      </c>
      <c r="B19" s="518" t="s">
        <v>93</v>
      </c>
      <c r="C19" s="71">
        <v>1</v>
      </c>
      <c r="D19" s="71">
        <v>2</v>
      </c>
      <c r="E19" s="71">
        <v>1</v>
      </c>
      <c r="F19" s="70">
        <v>1</v>
      </c>
      <c r="G19" s="71">
        <v>2</v>
      </c>
      <c r="H19" s="71">
        <v>1</v>
      </c>
      <c r="I19" s="71">
        <v>2</v>
      </c>
      <c r="J19" s="71">
        <v>2</v>
      </c>
      <c r="K19" s="71">
        <v>1</v>
      </c>
      <c r="L19" s="71">
        <f>+SUMPRODUCT($C$3:$K$3,C19:K19)</f>
        <v>1.5</v>
      </c>
      <c r="M19" s="71" t="str">
        <f>+IF(L19&gt;=1.6,"YES","NO")</f>
        <v>NO</v>
      </c>
    </row>
    <row r="20" spans="1:13" ht="16.5">
      <c r="A20" s="70" t="s">
        <v>94</v>
      </c>
      <c r="B20" s="518" t="s">
        <v>95</v>
      </c>
      <c r="C20" s="71">
        <v>1</v>
      </c>
      <c r="D20" s="71">
        <v>2</v>
      </c>
      <c r="E20" s="71">
        <v>1</v>
      </c>
      <c r="F20" s="70">
        <v>1</v>
      </c>
      <c r="G20" s="71">
        <v>2</v>
      </c>
      <c r="H20" s="71">
        <v>1</v>
      </c>
      <c r="I20" s="71">
        <v>2</v>
      </c>
      <c r="J20" s="71">
        <v>2</v>
      </c>
      <c r="K20" s="71">
        <v>1</v>
      </c>
      <c r="L20" s="71">
        <f>+SUMPRODUCT($C$3:$K$3,C20:K20)</f>
        <v>1.5</v>
      </c>
      <c r="M20" s="71" t="str">
        <f>+IF(L20&gt;=1.6,"YES","NO")</f>
        <v>NO</v>
      </c>
    </row>
    <row r="21" spans="1:13" ht="39.6" customHeight="1">
      <c r="A21" s="519" t="s">
        <v>97</v>
      </c>
      <c r="B21" s="520" t="s">
        <v>98</v>
      </c>
      <c r="C21" s="519"/>
      <c r="D21" s="519"/>
      <c r="E21" s="519"/>
      <c r="F21" s="519"/>
      <c r="G21" s="519"/>
      <c r="H21" s="519"/>
      <c r="I21" s="519"/>
      <c r="J21" s="519"/>
      <c r="K21" s="519"/>
      <c r="L21" s="519"/>
      <c r="M21" s="519"/>
    </row>
    <row r="22" spans="1:13" ht="16.5">
      <c r="A22" s="70" t="s">
        <v>99</v>
      </c>
      <c r="B22" s="518" t="s">
        <v>100</v>
      </c>
      <c r="C22" s="71">
        <v>1</v>
      </c>
      <c r="D22" s="71">
        <v>1</v>
      </c>
      <c r="E22" s="71">
        <v>1</v>
      </c>
      <c r="F22" s="70">
        <v>1</v>
      </c>
      <c r="G22" s="71">
        <v>3</v>
      </c>
      <c r="H22" s="71">
        <v>1</v>
      </c>
      <c r="I22" s="71">
        <v>2</v>
      </c>
      <c r="J22" s="71">
        <v>2</v>
      </c>
      <c r="K22" s="71">
        <v>1</v>
      </c>
      <c r="L22" s="71">
        <f>+SUMPRODUCT($C$3:$K$3,C22:K22)</f>
        <v>1.45</v>
      </c>
      <c r="M22" s="71" t="str">
        <f>+IF(L22&gt;=1.6,"YES","NO")</f>
        <v>NO</v>
      </c>
    </row>
    <row r="23" spans="1:13" ht="16.5">
      <c r="A23" s="70" t="s">
        <v>101</v>
      </c>
      <c r="B23" s="518" t="s">
        <v>102</v>
      </c>
      <c r="C23" s="71">
        <v>1</v>
      </c>
      <c r="D23" s="71">
        <v>1</v>
      </c>
      <c r="E23" s="71">
        <v>1</v>
      </c>
      <c r="F23" s="70">
        <v>1</v>
      </c>
      <c r="G23" s="71">
        <v>3</v>
      </c>
      <c r="H23" s="71">
        <v>1</v>
      </c>
      <c r="I23" s="71">
        <v>2</v>
      </c>
      <c r="J23" s="71">
        <v>2</v>
      </c>
      <c r="K23" s="71">
        <v>1</v>
      </c>
      <c r="L23" s="71">
        <f>+SUMPRODUCT($C$3:$K$3,C23:K23)</f>
        <v>1.45</v>
      </c>
      <c r="M23" s="71" t="str">
        <f>+IF(L23&gt;=1.6,"YES","NO")</f>
        <v>NO</v>
      </c>
    </row>
    <row r="24" spans="1:13" ht="39.6" customHeight="1">
      <c r="A24" s="519" t="s">
        <v>104</v>
      </c>
      <c r="B24" s="520" t="s">
        <v>105</v>
      </c>
      <c r="C24" s="519"/>
      <c r="D24" s="519"/>
      <c r="E24" s="519"/>
      <c r="F24" s="519"/>
      <c r="G24" s="519"/>
      <c r="H24" s="519"/>
      <c r="I24" s="519"/>
      <c r="J24" s="519"/>
      <c r="K24" s="519"/>
      <c r="L24" s="519"/>
      <c r="M24" s="519"/>
    </row>
    <row r="25" spans="1:13" ht="16.5">
      <c r="A25" s="70" t="s">
        <v>106</v>
      </c>
      <c r="B25" s="518" t="s">
        <v>270</v>
      </c>
      <c r="C25" s="71">
        <v>1</v>
      </c>
      <c r="D25" s="71">
        <v>1</v>
      </c>
      <c r="E25" s="71">
        <v>1</v>
      </c>
      <c r="F25" s="70">
        <v>1</v>
      </c>
      <c r="G25" s="71">
        <v>3</v>
      </c>
      <c r="H25" s="71">
        <v>1</v>
      </c>
      <c r="I25" s="71">
        <v>2</v>
      </c>
      <c r="J25" s="71">
        <v>2</v>
      </c>
      <c r="K25" s="71">
        <v>1</v>
      </c>
      <c r="L25" s="71">
        <f t="shared" ref="L25:L32" si="2">+SUMPRODUCT($C$3:$K$3,C25:K25)</f>
        <v>1.45</v>
      </c>
      <c r="M25" s="71" t="str">
        <f t="shared" ref="M25:M32" si="3">+IF(L25&gt;=1.6,"YES","NO")</f>
        <v>NO</v>
      </c>
    </row>
    <row r="26" spans="1:13" ht="16.5">
      <c r="A26" s="70" t="s">
        <v>108</v>
      </c>
      <c r="B26" s="518" t="s">
        <v>271</v>
      </c>
      <c r="C26" s="71">
        <v>1</v>
      </c>
      <c r="D26" s="71">
        <v>1</v>
      </c>
      <c r="E26" s="71">
        <v>1</v>
      </c>
      <c r="F26" s="70">
        <v>1</v>
      </c>
      <c r="G26" s="71">
        <v>3</v>
      </c>
      <c r="H26" s="71">
        <v>1</v>
      </c>
      <c r="I26" s="71">
        <v>2</v>
      </c>
      <c r="J26" s="71">
        <v>2</v>
      </c>
      <c r="K26" s="71">
        <v>1</v>
      </c>
      <c r="L26" s="71">
        <f t="shared" si="2"/>
        <v>1.45</v>
      </c>
      <c r="M26" s="71" t="str">
        <f t="shared" si="3"/>
        <v>NO</v>
      </c>
    </row>
    <row r="27" spans="1:13" ht="16.5">
      <c r="A27" s="70" t="s">
        <v>110</v>
      </c>
      <c r="B27" s="518" t="s">
        <v>272</v>
      </c>
      <c r="C27" s="71">
        <v>1</v>
      </c>
      <c r="D27" s="71">
        <v>1</v>
      </c>
      <c r="E27" s="71">
        <v>1</v>
      </c>
      <c r="F27" s="70">
        <v>1</v>
      </c>
      <c r="G27" s="71">
        <v>3</v>
      </c>
      <c r="H27" s="71">
        <v>1</v>
      </c>
      <c r="I27" s="71">
        <v>2</v>
      </c>
      <c r="J27" s="71">
        <v>2</v>
      </c>
      <c r="K27" s="71">
        <v>1</v>
      </c>
      <c r="L27" s="71">
        <f t="shared" si="2"/>
        <v>1.45</v>
      </c>
      <c r="M27" s="71" t="str">
        <f t="shared" si="3"/>
        <v>NO</v>
      </c>
    </row>
    <row r="28" spans="1:13" ht="16.5">
      <c r="A28" s="70" t="s">
        <v>112</v>
      </c>
      <c r="B28" s="518" t="s">
        <v>274</v>
      </c>
      <c r="C28" s="71">
        <v>1</v>
      </c>
      <c r="D28" s="71">
        <v>1</v>
      </c>
      <c r="E28" s="71">
        <v>1</v>
      </c>
      <c r="F28" s="70">
        <v>1</v>
      </c>
      <c r="G28" s="71">
        <v>3</v>
      </c>
      <c r="H28" s="71">
        <v>1</v>
      </c>
      <c r="I28" s="71">
        <v>2</v>
      </c>
      <c r="J28" s="71">
        <v>2</v>
      </c>
      <c r="K28" s="71">
        <v>1</v>
      </c>
      <c r="L28" s="71">
        <f t="shared" si="2"/>
        <v>1.45</v>
      </c>
      <c r="M28" s="71" t="str">
        <f t="shared" si="3"/>
        <v>NO</v>
      </c>
    </row>
    <row r="29" spans="1:13" ht="16.5">
      <c r="A29" s="70" t="s">
        <v>114</v>
      </c>
      <c r="B29" s="518" t="s">
        <v>275</v>
      </c>
      <c r="C29" s="71">
        <v>1</v>
      </c>
      <c r="D29" s="71">
        <v>1</v>
      </c>
      <c r="E29" s="71">
        <v>1</v>
      </c>
      <c r="F29" s="70">
        <v>1</v>
      </c>
      <c r="G29" s="71">
        <v>3</v>
      </c>
      <c r="H29" s="71">
        <v>1</v>
      </c>
      <c r="I29" s="71">
        <v>2</v>
      </c>
      <c r="J29" s="71">
        <v>2</v>
      </c>
      <c r="K29" s="71">
        <v>1</v>
      </c>
      <c r="L29" s="71">
        <f t="shared" si="2"/>
        <v>1.45</v>
      </c>
      <c r="M29" s="71" t="str">
        <f t="shared" si="3"/>
        <v>NO</v>
      </c>
    </row>
    <row r="30" spans="1:13" ht="16.5">
      <c r="A30" s="70" t="s">
        <v>116</v>
      </c>
      <c r="B30" s="518" t="s">
        <v>276</v>
      </c>
      <c r="C30" s="71">
        <v>1</v>
      </c>
      <c r="D30" s="71">
        <v>1</v>
      </c>
      <c r="E30" s="71">
        <v>1</v>
      </c>
      <c r="F30" s="70">
        <v>1</v>
      </c>
      <c r="G30" s="71">
        <v>3</v>
      </c>
      <c r="H30" s="71">
        <v>1</v>
      </c>
      <c r="I30" s="71">
        <v>2</v>
      </c>
      <c r="J30" s="71">
        <v>2</v>
      </c>
      <c r="K30" s="71">
        <v>1</v>
      </c>
      <c r="L30" s="71">
        <f t="shared" si="2"/>
        <v>1.45</v>
      </c>
      <c r="M30" s="71" t="str">
        <f t="shared" si="3"/>
        <v>NO</v>
      </c>
    </row>
    <row r="31" spans="1:13" ht="16.5">
      <c r="A31" s="70" t="s">
        <v>118</v>
      </c>
      <c r="B31" s="518" t="s">
        <v>277</v>
      </c>
      <c r="C31" s="71">
        <v>1</v>
      </c>
      <c r="D31" s="71">
        <v>1</v>
      </c>
      <c r="E31" s="71">
        <v>1</v>
      </c>
      <c r="F31" s="70">
        <v>1</v>
      </c>
      <c r="G31" s="71">
        <v>3</v>
      </c>
      <c r="H31" s="71">
        <v>1</v>
      </c>
      <c r="I31" s="71">
        <v>2</v>
      </c>
      <c r="J31" s="71">
        <v>2</v>
      </c>
      <c r="K31" s="71">
        <v>1</v>
      </c>
      <c r="L31" s="71">
        <f t="shared" si="2"/>
        <v>1.45</v>
      </c>
      <c r="M31" s="71" t="str">
        <f t="shared" si="3"/>
        <v>NO</v>
      </c>
    </row>
    <row r="32" spans="1:13" ht="16.5">
      <c r="A32" s="70" t="s">
        <v>120</v>
      </c>
      <c r="B32" s="518" t="s">
        <v>278</v>
      </c>
      <c r="C32" s="71">
        <v>1</v>
      </c>
      <c r="D32" s="71">
        <v>1</v>
      </c>
      <c r="E32" s="71">
        <v>1</v>
      </c>
      <c r="F32" s="70">
        <v>1</v>
      </c>
      <c r="G32" s="71">
        <v>3</v>
      </c>
      <c r="H32" s="71">
        <v>1</v>
      </c>
      <c r="I32" s="71">
        <v>2</v>
      </c>
      <c r="J32" s="71">
        <v>2</v>
      </c>
      <c r="K32" s="71">
        <v>1</v>
      </c>
      <c r="L32" s="71">
        <f t="shared" si="2"/>
        <v>1.45</v>
      </c>
      <c r="M32" s="71" t="str">
        <f t="shared" si="3"/>
        <v>NO</v>
      </c>
    </row>
    <row r="33" spans="1:13" ht="39.6" customHeight="1">
      <c r="A33" s="519" t="s">
        <v>122</v>
      </c>
      <c r="B33" s="520" t="s">
        <v>123</v>
      </c>
      <c r="C33" s="519"/>
      <c r="D33" s="519"/>
      <c r="E33" s="519"/>
      <c r="F33" s="519"/>
      <c r="G33" s="519"/>
      <c r="H33" s="519"/>
      <c r="I33" s="519"/>
      <c r="J33" s="519"/>
      <c r="K33" s="519"/>
      <c r="L33" s="519"/>
      <c r="M33" s="519"/>
    </row>
    <row r="34" spans="1:13" ht="16.5">
      <c r="A34" s="70" t="s">
        <v>124</v>
      </c>
      <c r="B34" s="518" t="s">
        <v>125</v>
      </c>
      <c r="C34" s="71">
        <v>1</v>
      </c>
      <c r="D34" s="71">
        <v>1</v>
      </c>
      <c r="E34" s="71">
        <v>1</v>
      </c>
      <c r="F34" s="70">
        <v>1</v>
      </c>
      <c r="G34" s="71">
        <v>3</v>
      </c>
      <c r="H34" s="71">
        <v>1</v>
      </c>
      <c r="I34" s="71">
        <v>2</v>
      </c>
      <c r="J34" s="71">
        <v>2</v>
      </c>
      <c r="K34" s="71">
        <v>1</v>
      </c>
      <c r="L34" s="71">
        <f>+SUMPRODUCT($C$3:$K$3,C34:K34)</f>
        <v>1.45</v>
      </c>
      <c r="M34" s="71" t="str">
        <f>+IF(L34&gt;=1.6,"YES","NO")</f>
        <v>NO</v>
      </c>
    </row>
    <row r="35" spans="1:13" ht="16.5">
      <c r="A35" s="70" t="s">
        <v>127</v>
      </c>
      <c r="B35" s="518" t="s">
        <v>128</v>
      </c>
      <c r="C35" s="71">
        <v>1</v>
      </c>
      <c r="D35" s="71">
        <v>1</v>
      </c>
      <c r="E35" s="71">
        <v>1</v>
      </c>
      <c r="F35" s="70">
        <v>1</v>
      </c>
      <c r="G35" s="71">
        <v>3</v>
      </c>
      <c r="H35" s="71">
        <v>1</v>
      </c>
      <c r="I35" s="71">
        <v>2</v>
      </c>
      <c r="J35" s="71">
        <v>2</v>
      </c>
      <c r="K35" s="71">
        <v>1</v>
      </c>
      <c r="L35" s="71">
        <f>+SUMPRODUCT($C$3:$K$3,C35:K35)</f>
        <v>1.45</v>
      </c>
      <c r="M35" s="71" t="str">
        <f>+IF(L35&gt;=1.6,"YES","NO")</f>
        <v>NO</v>
      </c>
    </row>
    <row r="36" spans="1:13" ht="16.5">
      <c r="A36" s="70" t="s">
        <v>129</v>
      </c>
      <c r="B36" s="518" t="s">
        <v>130</v>
      </c>
      <c r="C36" s="71">
        <v>1</v>
      </c>
      <c r="D36" s="71">
        <v>1</v>
      </c>
      <c r="E36" s="71">
        <v>1</v>
      </c>
      <c r="F36" s="70">
        <v>1</v>
      </c>
      <c r="G36" s="71">
        <v>3</v>
      </c>
      <c r="H36" s="71">
        <v>1</v>
      </c>
      <c r="I36" s="71">
        <v>2</v>
      </c>
      <c r="J36" s="71">
        <v>2</v>
      </c>
      <c r="K36" s="71">
        <v>1</v>
      </c>
      <c r="L36" s="71">
        <f>+SUMPRODUCT($C$3:$K$3,C36:K36)</f>
        <v>1.45</v>
      </c>
      <c r="M36" s="71" t="str">
        <f>+IF(L36&gt;=1.6,"YES","NO")</f>
        <v>NO</v>
      </c>
    </row>
    <row r="37" spans="1:13" ht="16.5">
      <c r="A37" s="70" t="s">
        <v>131</v>
      </c>
      <c r="B37" s="518" t="s">
        <v>131</v>
      </c>
      <c r="C37" s="71"/>
      <c r="D37" s="71"/>
      <c r="E37" s="71"/>
      <c r="F37" s="70"/>
      <c r="G37" s="71"/>
      <c r="H37" s="71"/>
      <c r="I37" s="71"/>
      <c r="J37" s="71"/>
      <c r="K37" s="71"/>
      <c r="L37" s="71"/>
      <c r="M37" s="71"/>
    </row>
    <row r="38" spans="1:13" ht="39.6" customHeight="1">
      <c r="A38" s="519" t="s">
        <v>132</v>
      </c>
      <c r="B38" s="520" t="s">
        <v>133</v>
      </c>
      <c r="C38" s="519">
        <v>1</v>
      </c>
      <c r="D38" s="519">
        <v>1</v>
      </c>
      <c r="E38" s="519">
        <v>1</v>
      </c>
      <c r="F38" s="519">
        <v>1</v>
      </c>
      <c r="G38" s="519">
        <v>3</v>
      </c>
      <c r="H38" s="519">
        <v>1</v>
      </c>
      <c r="I38" s="519">
        <v>2</v>
      </c>
      <c r="J38" s="519">
        <v>2</v>
      </c>
      <c r="K38" s="519">
        <v>1</v>
      </c>
      <c r="L38" s="519">
        <f>+SUMPRODUCT($C$3:$K$3,C38:K38)</f>
        <v>1.45</v>
      </c>
      <c r="M38" s="519" t="str">
        <f>+IF(L38&gt;=1.6,"YES","NO")</f>
        <v>NO</v>
      </c>
    </row>
    <row r="39" spans="1:13" ht="16.5">
      <c r="A39" s="70" t="s">
        <v>134</v>
      </c>
      <c r="B39" s="518" t="s">
        <v>131</v>
      </c>
      <c r="C39" s="71"/>
      <c r="D39" s="71"/>
      <c r="E39" s="71"/>
      <c r="F39" s="70"/>
      <c r="G39" s="71"/>
      <c r="H39" s="71"/>
      <c r="I39" s="71"/>
      <c r="J39" s="71"/>
      <c r="K39" s="71"/>
      <c r="L39" s="71"/>
      <c r="M39" s="71"/>
    </row>
    <row r="40" spans="1:13" ht="16.5">
      <c r="A40" s="70" t="s">
        <v>135</v>
      </c>
      <c r="B40" s="518" t="s">
        <v>131</v>
      </c>
      <c r="C40" s="71"/>
      <c r="D40" s="71"/>
      <c r="E40" s="71"/>
      <c r="F40" s="70"/>
      <c r="G40" s="71"/>
      <c r="H40" s="71"/>
      <c r="I40" s="71"/>
      <c r="J40" s="71"/>
      <c r="K40" s="71"/>
      <c r="L40" s="71"/>
      <c r="M40" s="71"/>
    </row>
    <row r="41" spans="1:13" ht="39.6" customHeight="1">
      <c r="A41" s="519" t="s">
        <v>136</v>
      </c>
      <c r="B41" s="520" t="s">
        <v>137</v>
      </c>
      <c r="C41" s="519"/>
      <c r="D41" s="519"/>
      <c r="E41" s="519"/>
      <c r="F41" s="519"/>
      <c r="G41" s="519"/>
      <c r="H41" s="519"/>
      <c r="I41" s="519"/>
      <c r="J41" s="519"/>
      <c r="K41" s="519"/>
      <c r="L41" s="519"/>
      <c r="M41" s="519"/>
    </row>
    <row r="42" spans="1:13" ht="16.5">
      <c r="A42" s="70" t="s">
        <v>138</v>
      </c>
      <c r="B42" s="518" t="s">
        <v>139</v>
      </c>
      <c r="C42" s="71">
        <v>1</v>
      </c>
      <c r="D42" s="71">
        <v>1</v>
      </c>
      <c r="E42" s="71">
        <v>1</v>
      </c>
      <c r="F42" s="70">
        <v>1</v>
      </c>
      <c r="G42" s="71">
        <v>3</v>
      </c>
      <c r="H42" s="71">
        <v>1</v>
      </c>
      <c r="I42" s="71">
        <v>2</v>
      </c>
      <c r="J42" s="71">
        <v>2</v>
      </c>
      <c r="K42" s="71">
        <v>1</v>
      </c>
      <c r="L42" s="71">
        <f t="shared" ref="L42:L49" si="4">+SUMPRODUCT($C$3:$K$3,C42:K42)</f>
        <v>1.45</v>
      </c>
      <c r="M42" s="71" t="str">
        <f t="shared" ref="M42:M49" si="5">+IF(L42&gt;=1.6,"YES","NO")</f>
        <v>NO</v>
      </c>
    </row>
    <row r="43" spans="1:13" ht="16.5">
      <c r="A43" s="70" t="s">
        <v>140</v>
      </c>
      <c r="B43" s="518" t="s">
        <v>141</v>
      </c>
      <c r="C43" s="71">
        <v>1</v>
      </c>
      <c r="D43" s="71">
        <v>1</v>
      </c>
      <c r="E43" s="71">
        <v>1</v>
      </c>
      <c r="F43" s="70">
        <v>1</v>
      </c>
      <c r="G43" s="71">
        <v>3</v>
      </c>
      <c r="H43" s="71">
        <v>1</v>
      </c>
      <c r="I43" s="71">
        <v>2</v>
      </c>
      <c r="J43" s="71">
        <v>2</v>
      </c>
      <c r="K43" s="71">
        <v>1</v>
      </c>
      <c r="L43" s="71">
        <f t="shared" si="4"/>
        <v>1.45</v>
      </c>
      <c r="M43" s="71" t="str">
        <f t="shared" si="5"/>
        <v>NO</v>
      </c>
    </row>
    <row r="44" spans="1:13" ht="16.5">
      <c r="A44" s="70" t="s">
        <v>142</v>
      </c>
      <c r="B44" s="518" t="s">
        <v>143</v>
      </c>
      <c r="C44" s="71">
        <v>1</v>
      </c>
      <c r="D44" s="71">
        <v>1</v>
      </c>
      <c r="E44" s="71">
        <v>1</v>
      </c>
      <c r="F44" s="70">
        <v>1</v>
      </c>
      <c r="G44" s="71">
        <v>3</v>
      </c>
      <c r="H44" s="71">
        <v>1</v>
      </c>
      <c r="I44" s="71">
        <v>2</v>
      </c>
      <c r="J44" s="71">
        <v>2</v>
      </c>
      <c r="K44" s="71">
        <v>1</v>
      </c>
      <c r="L44" s="71">
        <f t="shared" si="4"/>
        <v>1.45</v>
      </c>
      <c r="M44" s="71" t="str">
        <f t="shared" si="5"/>
        <v>NO</v>
      </c>
    </row>
    <row r="45" spans="1:13" ht="16.5">
      <c r="A45" s="70" t="s">
        <v>144</v>
      </c>
      <c r="B45" s="518" t="s">
        <v>145</v>
      </c>
      <c r="C45" s="71">
        <v>1</v>
      </c>
      <c r="D45" s="71">
        <v>1</v>
      </c>
      <c r="E45" s="71">
        <v>1</v>
      </c>
      <c r="F45" s="70">
        <v>1</v>
      </c>
      <c r="G45" s="71">
        <v>3</v>
      </c>
      <c r="H45" s="71">
        <v>1</v>
      </c>
      <c r="I45" s="71">
        <v>2</v>
      </c>
      <c r="J45" s="71">
        <v>2</v>
      </c>
      <c r="K45" s="71">
        <v>1</v>
      </c>
      <c r="L45" s="71">
        <f t="shared" si="4"/>
        <v>1.45</v>
      </c>
      <c r="M45" s="71" t="str">
        <f t="shared" si="5"/>
        <v>NO</v>
      </c>
    </row>
    <row r="46" spans="1:13" ht="16.5">
      <c r="A46" s="70" t="s">
        <v>146</v>
      </c>
      <c r="B46" s="518" t="s">
        <v>147</v>
      </c>
      <c r="C46" s="71">
        <v>1</v>
      </c>
      <c r="D46" s="71">
        <v>1</v>
      </c>
      <c r="E46" s="71">
        <v>1</v>
      </c>
      <c r="F46" s="70">
        <v>1</v>
      </c>
      <c r="G46" s="71">
        <v>3</v>
      </c>
      <c r="H46" s="71">
        <v>1</v>
      </c>
      <c r="I46" s="71">
        <v>2</v>
      </c>
      <c r="J46" s="71">
        <v>2</v>
      </c>
      <c r="K46" s="71">
        <v>1</v>
      </c>
      <c r="L46" s="71">
        <f t="shared" si="4"/>
        <v>1.45</v>
      </c>
      <c r="M46" s="71" t="str">
        <f t="shared" si="5"/>
        <v>NO</v>
      </c>
    </row>
    <row r="47" spans="1:13" ht="16.5">
      <c r="A47" s="70" t="s">
        <v>148</v>
      </c>
      <c r="B47" s="518" t="s">
        <v>149</v>
      </c>
      <c r="C47" s="71">
        <v>1</v>
      </c>
      <c r="D47" s="71">
        <v>1</v>
      </c>
      <c r="E47" s="71">
        <v>1</v>
      </c>
      <c r="F47" s="70">
        <v>1</v>
      </c>
      <c r="G47" s="71">
        <v>3</v>
      </c>
      <c r="H47" s="71">
        <v>1</v>
      </c>
      <c r="I47" s="71">
        <v>2</v>
      </c>
      <c r="J47" s="71">
        <v>2</v>
      </c>
      <c r="K47" s="71">
        <v>1</v>
      </c>
      <c r="L47" s="71">
        <f t="shared" si="4"/>
        <v>1.45</v>
      </c>
      <c r="M47" s="71" t="str">
        <f t="shared" si="5"/>
        <v>NO</v>
      </c>
    </row>
    <row r="48" spans="1:13" ht="16.5">
      <c r="A48" s="70" t="s">
        <v>150</v>
      </c>
      <c r="B48" s="518" t="s">
        <v>151</v>
      </c>
      <c r="C48" s="71">
        <v>1</v>
      </c>
      <c r="D48" s="71">
        <v>1</v>
      </c>
      <c r="E48" s="71">
        <v>1</v>
      </c>
      <c r="F48" s="70">
        <v>1</v>
      </c>
      <c r="G48" s="71">
        <v>3</v>
      </c>
      <c r="H48" s="71">
        <v>1</v>
      </c>
      <c r="I48" s="71">
        <v>2</v>
      </c>
      <c r="J48" s="71">
        <v>2</v>
      </c>
      <c r="K48" s="71">
        <v>1</v>
      </c>
      <c r="L48" s="71">
        <f t="shared" si="4"/>
        <v>1.45</v>
      </c>
      <c r="M48" s="71" t="str">
        <f t="shared" si="5"/>
        <v>NO</v>
      </c>
    </row>
    <row r="49" spans="1:13" ht="16.5">
      <c r="A49" s="70" t="s">
        <v>152</v>
      </c>
      <c r="B49" s="518" t="s">
        <v>153</v>
      </c>
      <c r="C49" s="71">
        <v>1</v>
      </c>
      <c r="D49" s="71">
        <v>1</v>
      </c>
      <c r="E49" s="71">
        <v>1</v>
      </c>
      <c r="F49" s="70">
        <v>1</v>
      </c>
      <c r="G49" s="71">
        <v>3</v>
      </c>
      <c r="H49" s="71">
        <v>1</v>
      </c>
      <c r="I49" s="71">
        <v>2</v>
      </c>
      <c r="J49" s="71">
        <v>2</v>
      </c>
      <c r="K49" s="71">
        <v>1</v>
      </c>
      <c r="L49" s="71">
        <f t="shared" si="4"/>
        <v>1.45</v>
      </c>
      <c r="M49" s="71" t="str">
        <f t="shared" si="5"/>
        <v>NO</v>
      </c>
    </row>
    <row r="50" spans="1:13" ht="16.5">
      <c r="A50" s="70" t="s">
        <v>154</v>
      </c>
      <c r="B50" s="518" t="s">
        <v>155</v>
      </c>
      <c r="C50" s="71"/>
      <c r="D50" s="71"/>
      <c r="E50" s="71"/>
      <c r="F50" s="70"/>
      <c r="G50" s="71"/>
      <c r="H50" s="71"/>
      <c r="I50" s="71"/>
      <c r="J50" s="71"/>
      <c r="K50" s="71"/>
      <c r="L50" s="71"/>
      <c r="M50" s="71"/>
    </row>
    <row r="51" spans="1:13" ht="39.6" customHeight="1">
      <c r="A51" s="519" t="s">
        <v>156</v>
      </c>
      <c r="B51" s="520" t="s">
        <v>157</v>
      </c>
      <c r="C51" s="519">
        <v>1</v>
      </c>
      <c r="D51" s="519">
        <v>1</v>
      </c>
      <c r="E51" s="519">
        <v>1</v>
      </c>
      <c r="F51" s="519">
        <v>1</v>
      </c>
      <c r="G51" s="519">
        <v>3</v>
      </c>
      <c r="H51" s="519">
        <v>1</v>
      </c>
      <c r="I51" s="519">
        <v>2</v>
      </c>
      <c r="J51" s="519">
        <v>2</v>
      </c>
      <c r="K51" s="519">
        <v>1</v>
      </c>
      <c r="L51" s="519">
        <f>+SUMPRODUCT($C$3:$K$3,C51:K51)</f>
        <v>1.45</v>
      </c>
      <c r="M51" s="519" t="str">
        <f>+IF(L51&gt;=1.6,"YES","NO")</f>
        <v>NO</v>
      </c>
    </row>
    <row r="52" spans="1:13" ht="16.5">
      <c r="A52" s="70" t="s">
        <v>158</v>
      </c>
      <c r="B52" s="518" t="s">
        <v>131</v>
      </c>
      <c r="C52" s="71"/>
      <c r="D52" s="71"/>
      <c r="E52" s="71"/>
      <c r="F52" s="70"/>
      <c r="G52" s="71"/>
      <c r="H52" s="71"/>
      <c r="I52" s="71"/>
      <c r="J52" s="71"/>
      <c r="K52" s="71"/>
      <c r="L52" s="71"/>
      <c r="M52" s="71"/>
    </row>
    <row r="53" spans="1:13" ht="16.5">
      <c r="A53" s="70" t="s">
        <v>159</v>
      </c>
      <c r="B53" s="518" t="s">
        <v>131</v>
      </c>
      <c r="C53" s="71"/>
      <c r="D53" s="71"/>
      <c r="E53" s="71"/>
      <c r="F53" s="70"/>
      <c r="G53" s="71"/>
      <c r="H53" s="71"/>
      <c r="I53" s="71"/>
      <c r="J53" s="71"/>
      <c r="K53" s="71"/>
      <c r="L53" s="71"/>
      <c r="M53" s="71"/>
    </row>
    <row r="54" spans="1:13" ht="39.6" customHeight="1">
      <c r="A54" s="519" t="s">
        <v>160</v>
      </c>
      <c r="B54" s="520" t="s">
        <v>161</v>
      </c>
      <c r="C54" s="519"/>
      <c r="D54" s="519"/>
      <c r="E54" s="519"/>
      <c r="F54" s="519"/>
      <c r="G54" s="519"/>
      <c r="H54" s="519"/>
      <c r="I54" s="519"/>
      <c r="J54" s="519"/>
      <c r="K54" s="519"/>
      <c r="L54" s="519"/>
      <c r="M54" s="519"/>
    </row>
    <row r="55" spans="1:13" ht="33">
      <c r="A55" s="70" t="s">
        <v>162</v>
      </c>
      <c r="B55" s="518" t="s">
        <v>163</v>
      </c>
      <c r="C55" s="71">
        <v>1</v>
      </c>
      <c r="D55" s="71">
        <v>1</v>
      </c>
      <c r="E55" s="71">
        <v>1</v>
      </c>
      <c r="F55" s="70">
        <v>1</v>
      </c>
      <c r="G55" s="71">
        <v>3</v>
      </c>
      <c r="H55" s="71">
        <v>1</v>
      </c>
      <c r="I55" s="71">
        <v>2</v>
      </c>
      <c r="J55" s="71">
        <v>2</v>
      </c>
      <c r="K55" s="71">
        <v>1</v>
      </c>
      <c r="L55" s="71">
        <f>+SUMPRODUCT($C$3:$K$3,C55:K55)</f>
        <v>1.45</v>
      </c>
      <c r="M55" s="71" t="str">
        <f>+IF(L55&gt;=1.6,"YES","NO")</f>
        <v>NO</v>
      </c>
    </row>
    <row r="56" spans="1:13" ht="33">
      <c r="A56" s="70" t="s">
        <v>164</v>
      </c>
      <c r="B56" s="518" t="s">
        <v>165</v>
      </c>
      <c r="C56" s="71">
        <v>1</v>
      </c>
      <c r="D56" s="71">
        <v>1</v>
      </c>
      <c r="E56" s="71">
        <v>1</v>
      </c>
      <c r="F56" s="70">
        <v>1</v>
      </c>
      <c r="G56" s="71">
        <v>3</v>
      </c>
      <c r="H56" s="71">
        <v>1</v>
      </c>
      <c r="I56" s="71">
        <v>2</v>
      </c>
      <c r="J56" s="71">
        <v>2</v>
      </c>
      <c r="K56" s="71">
        <v>1</v>
      </c>
      <c r="L56" s="71">
        <f>+SUMPRODUCT($C$3:$K$3,C56:K56)</f>
        <v>1.45</v>
      </c>
      <c r="M56" s="71" t="str">
        <f>+IF(L56&gt;=1.6,"YES","NO")</f>
        <v>NO</v>
      </c>
    </row>
    <row r="57" spans="1:13" ht="16.5">
      <c r="A57" s="70" t="s">
        <v>131</v>
      </c>
      <c r="B57" s="518" t="s">
        <v>131</v>
      </c>
      <c r="C57" s="71"/>
      <c r="D57" s="71"/>
      <c r="E57" s="71"/>
      <c r="F57" s="70"/>
      <c r="G57" s="71"/>
      <c r="H57" s="71"/>
      <c r="I57" s="71"/>
      <c r="J57" s="71"/>
      <c r="K57" s="71"/>
      <c r="L57" s="71"/>
      <c r="M57" s="71"/>
    </row>
    <row r="58" spans="1:13" ht="39.6" customHeight="1">
      <c r="A58" s="519" t="s">
        <v>166</v>
      </c>
      <c r="B58" s="520" t="s">
        <v>167</v>
      </c>
      <c r="C58" s="519">
        <v>1</v>
      </c>
      <c r="D58" s="519">
        <v>1</v>
      </c>
      <c r="E58" s="519">
        <v>1</v>
      </c>
      <c r="F58" s="519">
        <v>1</v>
      </c>
      <c r="G58" s="519">
        <v>3</v>
      </c>
      <c r="H58" s="519">
        <v>1</v>
      </c>
      <c r="I58" s="519">
        <v>2</v>
      </c>
      <c r="J58" s="519">
        <v>2</v>
      </c>
      <c r="K58" s="519">
        <v>1</v>
      </c>
      <c r="L58" s="519">
        <f>+SUMPRODUCT($C$3:$K$3,C58:K58)</f>
        <v>1.45</v>
      </c>
      <c r="M58" s="519" t="str">
        <f>+IF(L58&gt;=1.6,"YES","NO")</f>
        <v>NO</v>
      </c>
    </row>
    <row r="59" spans="1:13" ht="16.5">
      <c r="A59" s="70" t="s">
        <v>168</v>
      </c>
      <c r="B59" s="518" t="s">
        <v>131</v>
      </c>
      <c r="C59" s="71"/>
      <c r="D59" s="71"/>
      <c r="E59" s="71"/>
      <c r="F59" s="70"/>
      <c r="G59" s="71"/>
      <c r="H59" s="71"/>
      <c r="I59" s="71"/>
      <c r="J59" s="71"/>
      <c r="K59" s="71"/>
      <c r="L59" s="71"/>
      <c r="M59" s="71"/>
    </row>
    <row r="60" spans="1:13" ht="16.5">
      <c r="A60" s="70" t="s">
        <v>169</v>
      </c>
      <c r="B60" s="518" t="s">
        <v>131</v>
      </c>
      <c r="C60" s="71"/>
      <c r="D60" s="71"/>
      <c r="E60" s="71"/>
      <c r="F60" s="70"/>
      <c r="G60" s="71"/>
      <c r="H60" s="71"/>
      <c r="I60" s="71"/>
      <c r="J60" s="71"/>
      <c r="K60" s="71"/>
      <c r="L60" s="71"/>
      <c r="M60" s="71"/>
    </row>
    <row r="61" spans="1:13" ht="39.6" customHeight="1">
      <c r="A61" s="519" t="s">
        <v>170</v>
      </c>
      <c r="B61" s="520" t="s">
        <v>171</v>
      </c>
      <c r="C61" s="519">
        <v>1</v>
      </c>
      <c r="D61" s="519">
        <v>1</v>
      </c>
      <c r="E61" s="519">
        <v>1</v>
      </c>
      <c r="F61" s="519">
        <v>1</v>
      </c>
      <c r="G61" s="519">
        <v>3</v>
      </c>
      <c r="H61" s="519">
        <v>1</v>
      </c>
      <c r="I61" s="519">
        <v>2</v>
      </c>
      <c r="J61" s="519">
        <v>2</v>
      </c>
      <c r="K61" s="519">
        <v>1</v>
      </c>
      <c r="L61" s="519">
        <f>+SUMPRODUCT($C$3:$K$3,C61:K61)</f>
        <v>1.45</v>
      </c>
      <c r="M61" s="519" t="str">
        <f>+IF(L61&gt;=1.6,"YES","NO")</f>
        <v>NO</v>
      </c>
    </row>
    <row r="62" spans="1:13" ht="16.5">
      <c r="A62" s="70" t="s">
        <v>172</v>
      </c>
      <c r="B62" s="518" t="s">
        <v>131</v>
      </c>
      <c r="C62" s="71"/>
      <c r="D62" s="71"/>
      <c r="E62" s="71"/>
      <c r="F62" s="70"/>
      <c r="G62" s="71"/>
      <c r="H62" s="71"/>
      <c r="I62" s="71"/>
      <c r="J62" s="71"/>
      <c r="K62" s="71"/>
      <c r="L62" s="71"/>
      <c r="M62" s="71"/>
    </row>
    <row r="63" spans="1:13" ht="16.5">
      <c r="A63" s="70" t="s">
        <v>173</v>
      </c>
      <c r="B63" s="518" t="s">
        <v>131</v>
      </c>
      <c r="C63" s="71"/>
      <c r="D63" s="71"/>
      <c r="E63" s="71"/>
      <c r="F63" s="70"/>
      <c r="G63" s="71"/>
      <c r="H63" s="71"/>
      <c r="I63" s="71"/>
      <c r="J63" s="71"/>
      <c r="K63" s="71"/>
      <c r="L63" s="71"/>
      <c r="M63" s="71"/>
    </row>
    <row r="64" spans="1:13" ht="39.6" customHeight="1">
      <c r="A64" s="519" t="s">
        <v>174</v>
      </c>
      <c r="B64" s="520" t="s">
        <v>175</v>
      </c>
      <c r="C64" s="519"/>
      <c r="D64" s="519"/>
      <c r="E64" s="519"/>
      <c r="F64" s="519"/>
      <c r="G64" s="519"/>
      <c r="H64" s="519"/>
      <c r="I64" s="519"/>
      <c r="J64" s="519"/>
      <c r="K64" s="519"/>
      <c r="L64" s="519"/>
      <c r="M64" s="519"/>
    </row>
    <row r="65" spans="1:13" ht="16.5">
      <c r="A65" s="70" t="s">
        <v>176</v>
      </c>
      <c r="B65" s="518" t="s">
        <v>177</v>
      </c>
      <c r="C65" s="71">
        <v>1</v>
      </c>
      <c r="D65" s="71">
        <v>1</v>
      </c>
      <c r="E65" s="71">
        <v>1</v>
      </c>
      <c r="F65" s="70">
        <v>1</v>
      </c>
      <c r="G65" s="71">
        <v>3</v>
      </c>
      <c r="H65" s="71">
        <v>1</v>
      </c>
      <c r="I65" s="71">
        <v>2</v>
      </c>
      <c r="J65" s="71">
        <v>2</v>
      </c>
      <c r="K65" s="71">
        <v>1</v>
      </c>
      <c r="L65" s="71">
        <f>+SUMPRODUCT($C$3:$K$3,C65:K65)</f>
        <v>1.45</v>
      </c>
      <c r="M65" s="71" t="str">
        <f>+IF(L65&gt;=1.6,"YES","NO")</f>
        <v>NO</v>
      </c>
    </row>
    <row r="66" spans="1:13" ht="16.5">
      <c r="A66" s="70" t="s">
        <v>178</v>
      </c>
      <c r="B66" s="518" t="s">
        <v>179</v>
      </c>
      <c r="C66" s="71">
        <v>1</v>
      </c>
      <c r="D66" s="71">
        <v>1</v>
      </c>
      <c r="E66" s="71">
        <v>1</v>
      </c>
      <c r="F66" s="70">
        <v>1</v>
      </c>
      <c r="G66" s="71">
        <v>3</v>
      </c>
      <c r="H66" s="71">
        <v>1</v>
      </c>
      <c r="I66" s="71">
        <v>2</v>
      </c>
      <c r="J66" s="71">
        <v>2</v>
      </c>
      <c r="K66" s="71">
        <v>1</v>
      </c>
      <c r="L66" s="71">
        <f>+SUMPRODUCT($C$3:$K$3,C66:K66)</f>
        <v>1.45</v>
      </c>
      <c r="M66" s="71" t="str">
        <f>+IF(L66&gt;=1.6,"YES","NO")</f>
        <v>NO</v>
      </c>
    </row>
    <row r="67" spans="1:13" ht="16.5">
      <c r="A67" s="70" t="s">
        <v>180</v>
      </c>
      <c r="B67" s="518" t="s">
        <v>181</v>
      </c>
      <c r="C67" s="71">
        <v>1</v>
      </c>
      <c r="D67" s="71">
        <v>1</v>
      </c>
      <c r="E67" s="71">
        <v>1</v>
      </c>
      <c r="F67" s="70">
        <v>1</v>
      </c>
      <c r="G67" s="71">
        <v>3</v>
      </c>
      <c r="H67" s="71">
        <v>1</v>
      </c>
      <c r="I67" s="71">
        <v>2</v>
      </c>
      <c r="J67" s="71">
        <v>2</v>
      </c>
      <c r="K67" s="71">
        <v>1</v>
      </c>
      <c r="L67" s="71">
        <f>+SUMPRODUCT($C$3:$K$3,C67:K67)</f>
        <v>1.45</v>
      </c>
      <c r="M67" s="71" t="str">
        <f>+IF(L67&gt;=1.6,"YES","NO")</f>
        <v>NO</v>
      </c>
    </row>
    <row r="68" spans="1:13" ht="16.5">
      <c r="A68" s="70" t="s">
        <v>182</v>
      </c>
      <c r="B68" s="518" t="s">
        <v>183</v>
      </c>
      <c r="C68" s="71">
        <v>1</v>
      </c>
      <c r="D68" s="71">
        <v>1</v>
      </c>
      <c r="E68" s="71">
        <v>1</v>
      </c>
      <c r="F68" s="70">
        <v>1</v>
      </c>
      <c r="G68" s="71">
        <v>3</v>
      </c>
      <c r="H68" s="71">
        <v>1</v>
      </c>
      <c r="I68" s="71">
        <v>2</v>
      </c>
      <c r="J68" s="71">
        <v>2</v>
      </c>
      <c r="K68" s="71">
        <v>1</v>
      </c>
      <c r="L68" s="71">
        <f>+SUMPRODUCT($C$3:$K$3,C68:K68)</f>
        <v>1.45</v>
      </c>
      <c r="M68" s="71" t="str">
        <f>+IF(L68&gt;=1.6,"YES","NO")</f>
        <v>NO</v>
      </c>
    </row>
    <row r="69" spans="1:13" ht="16.5">
      <c r="A69" s="70" t="s">
        <v>184</v>
      </c>
      <c r="B69" s="518" t="s">
        <v>185</v>
      </c>
      <c r="C69" s="71">
        <v>1</v>
      </c>
      <c r="D69" s="71">
        <v>1</v>
      </c>
      <c r="E69" s="71">
        <v>1</v>
      </c>
      <c r="F69" s="70">
        <v>1</v>
      </c>
      <c r="G69" s="71">
        <v>3</v>
      </c>
      <c r="H69" s="71">
        <v>1</v>
      </c>
      <c r="I69" s="71">
        <v>2</v>
      </c>
      <c r="J69" s="71">
        <v>2</v>
      </c>
      <c r="K69" s="71">
        <v>1</v>
      </c>
      <c r="L69" s="71">
        <f>+SUMPRODUCT($C$3:$K$3,C69:K69)</f>
        <v>1.45</v>
      </c>
      <c r="M69" s="71" t="str">
        <f>+IF(L69&gt;=1.6,"YES","NO")</f>
        <v>NO</v>
      </c>
    </row>
    <row r="70" spans="1:13" ht="16.5">
      <c r="A70" s="70" t="s">
        <v>131</v>
      </c>
      <c r="B70" s="518" t="s">
        <v>131</v>
      </c>
      <c r="C70" s="71"/>
      <c r="D70" s="71"/>
      <c r="E70" s="71"/>
      <c r="F70" s="70"/>
      <c r="G70" s="71"/>
      <c r="H70" s="71"/>
      <c r="I70" s="71"/>
      <c r="J70" s="71"/>
      <c r="K70" s="71"/>
      <c r="L70" s="71"/>
      <c r="M70" s="71"/>
    </row>
    <row r="71" spans="1:13" ht="39.6" customHeight="1">
      <c r="A71" s="519" t="s">
        <v>186</v>
      </c>
      <c r="B71" s="520" t="s">
        <v>187</v>
      </c>
      <c r="C71" s="519">
        <v>1</v>
      </c>
      <c r="D71" s="519">
        <v>1</v>
      </c>
      <c r="E71" s="519">
        <v>1</v>
      </c>
      <c r="F71" s="519">
        <v>1</v>
      </c>
      <c r="G71" s="519">
        <v>3</v>
      </c>
      <c r="H71" s="519">
        <v>2</v>
      </c>
      <c r="I71" s="519">
        <v>2</v>
      </c>
      <c r="J71" s="519">
        <v>2</v>
      </c>
      <c r="K71" s="519">
        <v>1</v>
      </c>
      <c r="L71" s="519">
        <f>+SUMPRODUCT($C$3:$K$3,C71:K71)</f>
        <v>1.55</v>
      </c>
      <c r="M71" s="519" t="str">
        <f>+IF(L71&gt;=1.6,"YES","NO")</f>
        <v>NO</v>
      </c>
    </row>
    <row r="72" spans="1:13" ht="16.5">
      <c r="A72" s="70" t="s">
        <v>188</v>
      </c>
      <c r="B72" s="518" t="s">
        <v>189</v>
      </c>
      <c r="C72" s="71">
        <v>1</v>
      </c>
      <c r="D72" s="71">
        <v>1</v>
      </c>
      <c r="E72" s="71">
        <v>1</v>
      </c>
      <c r="F72" s="70">
        <v>1</v>
      </c>
      <c r="G72" s="71">
        <v>3</v>
      </c>
      <c r="H72" s="71">
        <v>1</v>
      </c>
      <c r="I72" s="71">
        <v>2</v>
      </c>
      <c r="J72" s="71">
        <v>2</v>
      </c>
      <c r="K72" s="71">
        <v>1</v>
      </c>
      <c r="L72" s="71">
        <f>+SUMPRODUCT($C$3:$K$3,C72:K72)</f>
        <v>1.45</v>
      </c>
      <c r="M72" s="71" t="str">
        <f>+IF(L72&gt;=1.6,"YES","NO")</f>
        <v>NO</v>
      </c>
    </row>
    <row r="73" spans="1:13" ht="16.5">
      <c r="A73" s="70" t="s">
        <v>190</v>
      </c>
      <c r="B73" s="518" t="s">
        <v>191</v>
      </c>
      <c r="C73" s="71">
        <v>1</v>
      </c>
      <c r="D73" s="71">
        <v>1</v>
      </c>
      <c r="E73" s="71">
        <v>1</v>
      </c>
      <c r="F73" s="70">
        <v>1</v>
      </c>
      <c r="G73" s="71">
        <v>3</v>
      </c>
      <c r="H73" s="71">
        <v>2</v>
      </c>
      <c r="I73" s="71">
        <v>2</v>
      </c>
      <c r="J73" s="71">
        <v>2</v>
      </c>
      <c r="K73" s="71">
        <v>1</v>
      </c>
      <c r="L73" s="71">
        <f>+SUMPRODUCT($C$3:$K$3,C73:K73)</f>
        <v>1.55</v>
      </c>
      <c r="M73" s="71" t="str">
        <f>+IF(L73&gt;=1.6,"YES","NO")</f>
        <v>NO</v>
      </c>
    </row>
    <row r="74" spans="1:13" ht="16.5">
      <c r="A74" s="70" t="s">
        <v>131</v>
      </c>
      <c r="B74" s="518" t="s">
        <v>131</v>
      </c>
      <c r="C74" s="71"/>
      <c r="D74" s="71"/>
      <c r="E74" s="71"/>
      <c r="F74" s="70"/>
      <c r="G74" s="71"/>
      <c r="H74" s="71"/>
      <c r="I74" s="71"/>
      <c r="J74" s="71"/>
      <c r="K74" s="71"/>
      <c r="L74" s="71"/>
      <c r="M74" s="71"/>
    </row>
    <row r="75" spans="1:13" ht="39.6" customHeight="1">
      <c r="A75" s="519" t="s">
        <v>192</v>
      </c>
      <c r="B75" s="520" t="s">
        <v>193</v>
      </c>
      <c r="C75" s="519">
        <v>1</v>
      </c>
      <c r="D75" s="519">
        <v>1</v>
      </c>
      <c r="E75" s="519">
        <v>1</v>
      </c>
      <c r="F75" s="519">
        <v>1</v>
      </c>
      <c r="G75" s="519">
        <v>3</v>
      </c>
      <c r="H75" s="519">
        <v>1</v>
      </c>
      <c r="I75" s="519">
        <v>2</v>
      </c>
      <c r="J75" s="519">
        <v>2</v>
      </c>
      <c r="K75" s="519">
        <v>1</v>
      </c>
      <c r="L75" s="519">
        <f t="shared" ref="L75:L82" si="6">+SUMPRODUCT($C$3:$K$3,C75:K75)</f>
        <v>1.45</v>
      </c>
      <c r="M75" s="519" t="str">
        <f t="shared" ref="M75:M82" si="7">+IF(L75&gt;=1.6,"YES","NO")</f>
        <v>NO</v>
      </c>
    </row>
    <row r="76" spans="1:13" ht="16.5">
      <c r="A76" s="70" t="s">
        <v>131</v>
      </c>
      <c r="B76" s="518" t="s">
        <v>131</v>
      </c>
      <c r="C76" s="71"/>
      <c r="D76" s="71"/>
      <c r="E76" s="71"/>
      <c r="F76" s="70"/>
      <c r="G76" s="71"/>
      <c r="H76" s="71"/>
      <c r="I76" s="71"/>
      <c r="J76" s="71"/>
      <c r="K76" s="71"/>
      <c r="L76" s="71"/>
      <c r="M76" s="71"/>
    </row>
    <row r="77" spans="1:13" ht="63.6" customHeight="1">
      <c r="A77" s="519" t="s">
        <v>194</v>
      </c>
      <c r="B77" s="520" t="s">
        <v>195</v>
      </c>
      <c r="C77" s="519">
        <v>1</v>
      </c>
      <c r="D77" s="519">
        <v>1</v>
      </c>
      <c r="E77" s="519">
        <v>1</v>
      </c>
      <c r="F77" s="519">
        <v>1</v>
      </c>
      <c r="G77" s="519">
        <v>3</v>
      </c>
      <c r="H77" s="519">
        <v>1</v>
      </c>
      <c r="I77" s="519">
        <v>2</v>
      </c>
      <c r="J77" s="519">
        <v>2</v>
      </c>
      <c r="K77" s="519">
        <v>1</v>
      </c>
      <c r="L77" s="519">
        <f>+SUMPRODUCT($C$3:$K$3,C77:K77)</f>
        <v>1.45</v>
      </c>
      <c r="M77" s="519" t="str">
        <f>+IF(L77&gt;=1.6,"YES","NO")</f>
        <v>NO</v>
      </c>
    </row>
    <row r="78" spans="1:13" ht="16.5">
      <c r="A78" s="70" t="s">
        <v>131</v>
      </c>
      <c r="B78" s="518" t="s">
        <v>131</v>
      </c>
      <c r="C78" s="71"/>
      <c r="D78" s="71"/>
      <c r="E78" s="71"/>
      <c r="F78" s="70"/>
      <c r="G78" s="71"/>
      <c r="H78" s="71"/>
      <c r="I78" s="71"/>
      <c r="J78" s="71"/>
      <c r="K78" s="71"/>
      <c r="L78" s="71"/>
      <c r="M78" s="71"/>
    </row>
    <row r="79" spans="1:13" ht="63.6" customHeight="1">
      <c r="A79" s="519" t="s">
        <v>196</v>
      </c>
      <c r="B79" s="520" t="s">
        <v>197</v>
      </c>
      <c r="C79" s="519">
        <v>1</v>
      </c>
      <c r="D79" s="519">
        <v>1</v>
      </c>
      <c r="E79" s="519">
        <v>1</v>
      </c>
      <c r="F79" s="519">
        <v>1</v>
      </c>
      <c r="G79" s="519">
        <v>3</v>
      </c>
      <c r="H79" s="519">
        <v>2</v>
      </c>
      <c r="I79" s="519">
        <v>2</v>
      </c>
      <c r="J79" s="519">
        <v>2</v>
      </c>
      <c r="K79" s="519">
        <v>1</v>
      </c>
      <c r="L79" s="519">
        <f t="shared" si="6"/>
        <v>1.55</v>
      </c>
      <c r="M79" s="519" t="str">
        <f t="shared" si="7"/>
        <v>NO</v>
      </c>
    </row>
    <row r="80" spans="1:13" ht="16.5">
      <c r="A80" s="70" t="s">
        <v>198</v>
      </c>
      <c r="B80" s="518" t="s">
        <v>199</v>
      </c>
      <c r="C80" s="71">
        <v>1</v>
      </c>
      <c r="D80" s="71">
        <v>1</v>
      </c>
      <c r="E80" s="71">
        <v>1</v>
      </c>
      <c r="F80" s="70">
        <v>1</v>
      </c>
      <c r="G80" s="71">
        <v>3</v>
      </c>
      <c r="H80" s="71">
        <v>2</v>
      </c>
      <c r="I80" s="71">
        <v>2</v>
      </c>
      <c r="J80" s="71">
        <v>2</v>
      </c>
      <c r="K80" s="71">
        <v>1</v>
      </c>
      <c r="L80" s="71">
        <f t="shared" si="6"/>
        <v>1.55</v>
      </c>
      <c r="M80" s="71" t="str">
        <f t="shared" si="7"/>
        <v>NO</v>
      </c>
    </row>
    <row r="81" spans="1:13" ht="16.5">
      <c r="A81" s="70" t="s">
        <v>131</v>
      </c>
      <c r="B81" s="518" t="s">
        <v>131</v>
      </c>
      <c r="C81" s="71"/>
      <c r="D81" s="71"/>
      <c r="E81" s="71"/>
      <c r="F81" s="70"/>
      <c r="G81" s="71"/>
      <c r="H81" s="71"/>
      <c r="I81" s="71"/>
      <c r="J81" s="71"/>
      <c r="K81" s="71"/>
      <c r="L81" s="71"/>
      <c r="M81" s="71"/>
    </row>
    <row r="82" spans="1:13" ht="39.6" customHeight="1">
      <c r="A82" s="519" t="s">
        <v>200</v>
      </c>
      <c r="B82" s="520" t="s">
        <v>201</v>
      </c>
      <c r="C82" s="519">
        <v>1</v>
      </c>
      <c r="D82" s="519">
        <v>1</v>
      </c>
      <c r="E82" s="519">
        <v>1</v>
      </c>
      <c r="F82" s="519">
        <v>1</v>
      </c>
      <c r="G82" s="519">
        <v>3</v>
      </c>
      <c r="H82" s="519">
        <v>2</v>
      </c>
      <c r="I82" s="519">
        <v>2</v>
      </c>
      <c r="J82" s="519">
        <v>2</v>
      </c>
      <c r="K82" s="519">
        <v>1</v>
      </c>
      <c r="L82" s="519">
        <f t="shared" si="6"/>
        <v>1.55</v>
      </c>
      <c r="M82" s="519" t="str">
        <f t="shared" si="7"/>
        <v>NO</v>
      </c>
    </row>
    <row r="83" spans="1:13" ht="16.5">
      <c r="A83" s="70" t="s">
        <v>131</v>
      </c>
      <c r="B83" s="518" t="s">
        <v>131</v>
      </c>
      <c r="C83" s="71"/>
      <c r="D83" s="71"/>
      <c r="E83" s="71"/>
      <c r="F83" s="70"/>
      <c r="G83" s="71"/>
      <c r="H83" s="71"/>
      <c r="I83" s="71"/>
      <c r="J83" s="71"/>
      <c r="K83" s="71"/>
      <c r="L83" s="71"/>
      <c r="M83" s="71"/>
    </row>
    <row r="84" spans="1:13" ht="39.6" customHeight="1">
      <c r="A84" s="519" t="s">
        <v>202</v>
      </c>
      <c r="B84" s="520" t="s">
        <v>292</v>
      </c>
      <c r="C84" s="519">
        <v>1</v>
      </c>
      <c r="D84" s="519">
        <v>1</v>
      </c>
      <c r="E84" s="519">
        <v>1</v>
      </c>
      <c r="F84" s="519">
        <v>1</v>
      </c>
      <c r="G84" s="519">
        <v>3</v>
      </c>
      <c r="H84" s="519">
        <v>2</v>
      </c>
      <c r="I84" s="519">
        <v>2</v>
      </c>
      <c r="J84" s="519">
        <v>2</v>
      </c>
      <c r="K84" s="519">
        <v>1</v>
      </c>
      <c r="L84" s="519">
        <f>+SUMPRODUCT($C$3:$K$3,C84:K84)</f>
        <v>1.55</v>
      </c>
      <c r="M84" s="519" t="str">
        <f>+IF(L84&gt;=1.6,"YES","NO")</f>
        <v>NO</v>
      </c>
    </row>
    <row r="85" spans="1:13" ht="16.5">
      <c r="A85" s="70" t="s">
        <v>131</v>
      </c>
      <c r="B85" s="518" t="s">
        <v>131</v>
      </c>
      <c r="C85" s="71"/>
      <c r="D85" s="71"/>
      <c r="E85" s="71"/>
      <c r="F85" s="70"/>
      <c r="G85" s="71"/>
      <c r="H85" s="71"/>
      <c r="I85" s="71"/>
      <c r="J85" s="71"/>
      <c r="K85" s="71"/>
      <c r="L85" s="71"/>
      <c r="M85" s="71"/>
    </row>
    <row r="86" spans="1:13" ht="39.6" customHeight="1">
      <c r="A86" s="519" t="s">
        <v>204</v>
      </c>
      <c r="B86" s="520" t="s">
        <v>131</v>
      </c>
      <c r="C86" s="519"/>
      <c r="D86" s="519"/>
      <c r="E86" s="519"/>
      <c r="F86" s="519"/>
      <c r="G86" s="519"/>
      <c r="H86" s="519"/>
      <c r="I86" s="519"/>
      <c r="J86" s="519"/>
      <c r="K86" s="519"/>
      <c r="L86" s="519"/>
      <c r="M86" s="519"/>
    </row>
    <row r="87" spans="1:13" ht="43.9" customHeight="1">
      <c r="A87" s="516" t="s">
        <v>206</v>
      </c>
      <c r="B87" s="517" t="s">
        <v>1152</v>
      </c>
      <c r="C87" s="516"/>
      <c r="D87" s="516"/>
      <c r="E87" s="516"/>
      <c r="F87" s="516"/>
      <c r="G87" s="516"/>
      <c r="H87" s="516"/>
      <c r="I87" s="516"/>
      <c r="J87" s="516"/>
      <c r="K87" s="516"/>
      <c r="L87" s="516"/>
      <c r="M87" s="516"/>
    </row>
    <row r="88" spans="1:13" ht="58.15" customHeight="1">
      <c r="A88" s="70" t="s">
        <v>208</v>
      </c>
      <c r="B88" s="518" t="s">
        <v>209</v>
      </c>
      <c r="C88" s="71">
        <v>1</v>
      </c>
      <c r="D88" s="71">
        <v>1</v>
      </c>
      <c r="E88" s="71">
        <v>1</v>
      </c>
      <c r="F88" s="70">
        <v>1</v>
      </c>
      <c r="G88" s="71">
        <v>3</v>
      </c>
      <c r="H88" s="71">
        <v>2</v>
      </c>
      <c r="I88" s="71">
        <v>2</v>
      </c>
      <c r="J88" s="71">
        <v>2</v>
      </c>
      <c r="K88" s="71">
        <v>1</v>
      </c>
      <c r="L88" s="71">
        <f>+SUMPRODUCT($C$3:$K$3,C88:K88)</f>
        <v>1.55</v>
      </c>
      <c r="M88" s="71" t="str">
        <f>+IF(L88&gt;=1.6,"YES","NO")</f>
        <v>NO</v>
      </c>
    </row>
    <row r="89" spans="1:13" ht="45.6" customHeight="1">
      <c r="A89" s="516" t="s">
        <v>297</v>
      </c>
      <c r="B89" s="517" t="s">
        <v>298</v>
      </c>
      <c r="C89" s="516"/>
      <c r="D89" s="516"/>
      <c r="E89" s="516"/>
      <c r="F89" s="516"/>
      <c r="G89" s="516"/>
      <c r="H89" s="516"/>
      <c r="I89" s="516"/>
      <c r="J89" s="516"/>
      <c r="K89" s="516"/>
      <c r="L89" s="516"/>
      <c r="M89" s="516"/>
    </row>
    <row r="90" spans="1:13" ht="16.5">
      <c r="A90" s="70" t="s">
        <v>1098</v>
      </c>
      <c r="B90" s="518" t="s">
        <v>298</v>
      </c>
      <c r="C90" s="71">
        <v>1</v>
      </c>
      <c r="D90" s="71">
        <v>1</v>
      </c>
      <c r="E90" s="71">
        <v>1</v>
      </c>
      <c r="F90" s="70">
        <v>1</v>
      </c>
      <c r="G90" s="71">
        <v>3</v>
      </c>
      <c r="H90" s="71">
        <v>2</v>
      </c>
      <c r="I90" s="71">
        <v>2</v>
      </c>
      <c r="J90" s="71">
        <v>2</v>
      </c>
      <c r="K90" s="71">
        <v>1</v>
      </c>
      <c r="L90" s="71">
        <f>+SUMPRODUCT($C$3:$K$3,C90:K90)</f>
        <v>1.55</v>
      </c>
      <c r="M90" s="71" t="str">
        <f>+IF(L90&gt;=1.6,"YES","NO")</f>
        <v>NO</v>
      </c>
    </row>
  </sheetData>
  <mergeCells count="7">
    <mergeCell ref="A1:B1"/>
    <mergeCell ref="C1:K1"/>
    <mergeCell ref="L1:M1"/>
    <mergeCell ref="A3:B3"/>
    <mergeCell ref="L2:L6"/>
    <mergeCell ref="M2:M6"/>
    <mergeCell ref="A4:B6"/>
  </mergeCells>
  <conditionalFormatting sqref="M1:M17 M19:M20 M22:M23 M25:M32 M34:M37 M39:M40 M42:M50 M52:M53 M55:M57 M59:M60 M62:M63 M65:M70 M72:M74 M76 M78 M80:M81 M83 M85 M87:M1048576">
    <cfRule type="containsText" dxfId="4" priority="1" operator="containsText" text="YES">
      <formula>NOT(ISERROR(SEARCH("YES",M1)))</formula>
    </cfRule>
    <cfRule type="containsText" dxfId="3" priority="2" operator="containsText" text="YES">
      <formula>NOT(ISERROR(SEARCH("YES",M1)))</formula>
    </cfRule>
  </conditionalFormatting>
  <conditionalFormatting sqref="M7:M17 M19:M20 M22:M23 M25:M32 M34:M37 M39:M40 M42:M50 M52:M53 M55:M57 M59:M60 M62:M63 M65:M70 M72:M74 M76 M78 M80:M81 M83 M85 M87:M1048576">
    <cfRule type="containsText" dxfId="2" priority="63" operator="containsText" text="YES">
      <formula>NOT(ISERROR(SEARCH("YES",M7)))</formula>
    </cfRule>
    <cfRule type="containsText" dxfId="1" priority="64" operator="containsText" text="YES">
      <formula>NOT(ISERROR(SEARCH("YES",M7)))</formula>
    </cfRule>
  </conditionalFormatting>
  <conditionalFormatting sqref="M8:M17 M19:M20 M22:M23 M25:M32 M34:M37 M39:M40 M42:M50 M52:M53 M55:M57 M59:M60 M62:M63 M65:M70 M72:M74 M76 M78 M80:M81 M83 M85 M87:M90">
    <cfRule type="containsText" dxfId="0" priority="5" operator="containsText" text="SEC">
      <formula>NOT(ISERROR(SEARCH("SEC",M8)))</formula>
    </cfRule>
  </conditionalFormatting>
  <pageMargins left="0.7" right="0.7" top="0.75" bottom="0.75" header="0.3" footer="0.3"/>
  <pageSetup scale="44"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28"/>
  <sheetViews>
    <sheetView topLeftCell="A35" zoomScale="80" zoomScaleNormal="80" workbookViewId="0">
      <selection activeCell="A125" sqref="A125:D125"/>
    </sheetView>
  </sheetViews>
  <sheetFormatPr defaultColWidth="9" defaultRowHeight="17.25"/>
  <cols>
    <col min="1" max="1" width="7" style="502" customWidth="1"/>
    <col min="2" max="2" width="15.42578125" style="503" customWidth="1"/>
    <col min="3" max="3" width="48" style="503" customWidth="1"/>
    <col min="4" max="4" width="51.5703125" style="504" customWidth="1"/>
  </cols>
  <sheetData>
    <row r="1" spans="1:4" ht="78.75" customHeight="1">
      <c r="A1" s="731"/>
      <c r="B1" s="731"/>
      <c r="C1" s="21" t="s">
        <v>215</v>
      </c>
      <c r="D1" s="21" t="s">
        <v>1109</v>
      </c>
    </row>
    <row r="2" spans="1:4" ht="11.45" customHeight="1">
      <c r="A2" s="732"/>
      <c r="B2" s="732"/>
      <c r="C2" s="732"/>
      <c r="D2" s="732"/>
    </row>
    <row r="3" spans="1:4" ht="16.5">
      <c r="A3" s="702" t="s">
        <v>217</v>
      </c>
      <c r="B3" s="702"/>
      <c r="C3" s="702"/>
      <c r="D3" s="702"/>
    </row>
    <row r="4" spans="1:4" ht="16.5">
      <c r="A4" s="701" t="s">
        <v>1146</v>
      </c>
      <c r="B4" s="701"/>
      <c r="C4" s="701"/>
      <c r="D4" s="701"/>
    </row>
    <row r="5" spans="1:4" ht="34.5" customHeight="1">
      <c r="A5" s="733" t="s">
        <v>1147</v>
      </c>
      <c r="B5" s="733"/>
      <c r="C5" s="733"/>
      <c r="D5" s="733"/>
    </row>
    <row r="6" spans="1:4" ht="16.5">
      <c r="A6" s="701" t="s">
        <v>220</v>
      </c>
      <c r="B6" s="701"/>
      <c r="C6" s="701"/>
      <c r="D6" s="701"/>
    </row>
    <row r="7" spans="1:4" ht="16.5">
      <c r="A7" s="701"/>
      <c r="B7" s="701"/>
      <c r="C7" s="701"/>
      <c r="D7" s="701"/>
    </row>
    <row r="8" spans="1:4" ht="16.5">
      <c r="A8" s="701"/>
      <c r="B8" s="701"/>
      <c r="C8" s="701"/>
      <c r="D8" s="701"/>
    </row>
    <row r="9" spans="1:4" ht="16.5">
      <c r="A9" s="729" t="s">
        <v>1148</v>
      </c>
      <c r="B9" s="729"/>
      <c r="C9" s="729"/>
      <c r="D9" s="729"/>
    </row>
    <row r="10" spans="1:4" ht="16.5">
      <c r="A10" s="729" t="s">
        <v>1149</v>
      </c>
      <c r="B10" s="729"/>
      <c r="C10" s="729"/>
      <c r="D10" s="729"/>
    </row>
    <row r="11" spans="1:4" ht="16.5">
      <c r="A11" s="729" t="s">
        <v>225</v>
      </c>
      <c r="B11" s="729"/>
      <c r="C11" s="729"/>
      <c r="D11" s="729"/>
    </row>
    <row r="12" spans="1:4" ht="16.5">
      <c r="A12" s="729" t="s">
        <v>226</v>
      </c>
      <c r="B12" s="729"/>
      <c r="C12" s="729"/>
      <c r="D12" s="729"/>
    </row>
    <row r="13" spans="1:4" ht="16.5">
      <c r="A13" s="730" t="s">
        <v>227</v>
      </c>
      <c r="B13" s="730"/>
      <c r="C13" s="730"/>
      <c r="D13" s="730"/>
    </row>
    <row r="14" spans="1:4" ht="16.5">
      <c r="A14" s="729" t="s">
        <v>345</v>
      </c>
      <c r="B14" s="729"/>
      <c r="C14" s="729"/>
      <c r="D14" s="729"/>
    </row>
    <row r="15" spans="1:4" ht="16.5">
      <c r="A15" s="729" t="s">
        <v>229</v>
      </c>
      <c r="B15" s="729"/>
      <c r="C15" s="729"/>
      <c r="D15" s="729"/>
    </row>
    <row r="16" spans="1:4" s="501" customFormat="1" ht="49.5">
      <c r="A16" s="46" t="s">
        <v>2</v>
      </c>
      <c r="B16" s="28" t="s">
        <v>230</v>
      </c>
      <c r="C16" s="46" t="s">
        <v>4</v>
      </c>
      <c r="D16" s="46" t="s">
        <v>231</v>
      </c>
    </row>
    <row r="17" spans="1:4" s="278" customFormat="1" ht="33" customHeight="1">
      <c r="A17" s="46" t="s">
        <v>8</v>
      </c>
      <c r="B17" s="28" t="s">
        <v>9</v>
      </c>
      <c r="C17" s="505" t="s">
        <v>10</v>
      </c>
      <c r="D17" s="505"/>
    </row>
    <row r="18" spans="1:4" s="278" customFormat="1" ht="33" customHeight="1">
      <c r="A18" s="46"/>
      <c r="B18" s="28" t="s">
        <v>11</v>
      </c>
      <c r="C18" s="505" t="s">
        <v>12</v>
      </c>
      <c r="D18" s="505"/>
    </row>
    <row r="19" spans="1:4" s="278" customFormat="1" ht="26.25" customHeight="1">
      <c r="A19" s="177">
        <v>1</v>
      </c>
      <c r="B19" s="30" t="s">
        <v>13</v>
      </c>
      <c r="C19" s="204" t="s">
        <v>450</v>
      </c>
      <c r="D19" s="204" t="s">
        <v>1099</v>
      </c>
    </row>
    <row r="20" spans="1:4" s="278" customFormat="1" ht="32.25" customHeight="1">
      <c r="A20" s="177">
        <v>2</v>
      </c>
      <c r="B20" s="30" t="s">
        <v>18</v>
      </c>
      <c r="C20" s="204" t="s">
        <v>19</v>
      </c>
      <c r="D20" s="204" t="s">
        <v>233</v>
      </c>
    </row>
    <row r="21" spans="1:4" s="278" customFormat="1" ht="26.25" customHeight="1">
      <c r="A21" s="177">
        <v>3</v>
      </c>
      <c r="B21" s="30" t="s">
        <v>20</v>
      </c>
      <c r="C21" s="204" t="s">
        <v>21</v>
      </c>
      <c r="D21" s="204" t="s">
        <v>234</v>
      </c>
    </row>
    <row r="22" spans="1:4" s="278" customFormat="1" ht="37.5" customHeight="1">
      <c r="A22" s="177">
        <v>4</v>
      </c>
      <c r="B22" s="30" t="s">
        <v>22</v>
      </c>
      <c r="C22" s="204" t="s">
        <v>23</v>
      </c>
      <c r="D22" s="204" t="s">
        <v>236</v>
      </c>
    </row>
    <row r="23" spans="1:4" s="278" customFormat="1" ht="26.25" customHeight="1">
      <c r="A23" s="177">
        <v>5</v>
      </c>
      <c r="B23" s="30" t="s">
        <v>25</v>
      </c>
      <c r="C23" s="204" t="s">
        <v>1100</v>
      </c>
      <c r="D23" s="204" t="s">
        <v>237</v>
      </c>
    </row>
    <row r="24" spans="1:4" s="278" customFormat="1" ht="69" customHeight="1">
      <c r="A24" s="177">
        <v>6</v>
      </c>
      <c r="B24" s="30" t="s">
        <v>27</v>
      </c>
      <c r="C24" s="204" t="s">
        <v>346</v>
      </c>
      <c r="D24" s="204" t="s">
        <v>238</v>
      </c>
    </row>
    <row r="25" spans="1:4" s="278" customFormat="1" ht="34.9" customHeight="1">
      <c r="A25" s="177">
        <v>7</v>
      </c>
      <c r="B25" s="30" t="s">
        <v>29</v>
      </c>
      <c r="C25" s="204" t="s">
        <v>30</v>
      </c>
      <c r="D25" s="204" t="s">
        <v>239</v>
      </c>
    </row>
    <row r="26" spans="1:4" s="278" customFormat="1" ht="26.25" customHeight="1">
      <c r="A26" s="177">
        <v>8</v>
      </c>
      <c r="B26" s="30" t="s">
        <v>31</v>
      </c>
      <c r="C26" s="204" t="s">
        <v>347</v>
      </c>
      <c r="D26" s="204" t="s">
        <v>348</v>
      </c>
    </row>
    <row r="27" spans="1:4" s="278" customFormat="1" ht="26.25" customHeight="1">
      <c r="A27" s="177">
        <v>9</v>
      </c>
      <c r="B27" s="30" t="s">
        <v>33</v>
      </c>
      <c r="C27" s="204" t="s">
        <v>36</v>
      </c>
      <c r="D27" s="204" t="s">
        <v>242</v>
      </c>
    </row>
    <row r="28" spans="1:4" s="278" customFormat="1" ht="26.25" customHeight="1">
      <c r="A28" s="177">
        <v>10</v>
      </c>
      <c r="B28" s="30" t="s">
        <v>35</v>
      </c>
      <c r="C28" s="204" t="s">
        <v>349</v>
      </c>
      <c r="D28" s="204" t="s">
        <v>1095</v>
      </c>
    </row>
    <row r="29" spans="1:4" s="278" customFormat="1" ht="52.5" customHeight="1">
      <c r="A29" s="177"/>
      <c r="B29" s="28" t="s">
        <v>39</v>
      </c>
      <c r="C29" s="505" t="s">
        <v>350</v>
      </c>
      <c r="D29" s="204"/>
    </row>
    <row r="30" spans="1:4" s="278" customFormat="1" ht="34.9" customHeight="1">
      <c r="A30" s="177">
        <v>11</v>
      </c>
      <c r="B30" s="30" t="s">
        <v>41</v>
      </c>
      <c r="C30" s="204" t="s">
        <v>351</v>
      </c>
      <c r="D30" s="204" t="s">
        <v>352</v>
      </c>
    </row>
    <row r="31" spans="1:4" s="278" customFormat="1" ht="34.9" customHeight="1">
      <c r="A31" s="177">
        <v>12</v>
      </c>
      <c r="B31" s="30" t="s">
        <v>43</v>
      </c>
      <c r="C31" s="204" t="s">
        <v>353</v>
      </c>
      <c r="D31" s="204" t="s">
        <v>354</v>
      </c>
    </row>
    <row r="32" spans="1:4" s="278" customFormat="1" ht="34.9" customHeight="1">
      <c r="A32" s="177">
        <v>13</v>
      </c>
      <c r="B32" s="30" t="s">
        <v>355</v>
      </c>
      <c r="C32" s="204" t="s">
        <v>356</v>
      </c>
      <c r="D32" s="204" t="s">
        <v>248</v>
      </c>
    </row>
    <row r="33" spans="1:4" s="278" customFormat="1" ht="34.9" customHeight="1">
      <c r="A33" s="177"/>
      <c r="B33" s="28" t="s">
        <v>44</v>
      </c>
      <c r="C33" s="505" t="s">
        <v>357</v>
      </c>
      <c r="D33" s="204"/>
    </row>
    <row r="34" spans="1:4" s="278" customFormat="1" ht="34.9" customHeight="1">
      <c r="A34" s="177">
        <v>14</v>
      </c>
      <c r="B34" s="30" t="s">
        <v>46</v>
      </c>
      <c r="C34" s="204" t="s">
        <v>49</v>
      </c>
      <c r="D34" s="204" t="s">
        <v>249</v>
      </c>
    </row>
    <row r="35" spans="1:4" s="278" customFormat="1" ht="56.25" customHeight="1">
      <c r="A35" s="177">
        <v>15</v>
      </c>
      <c r="B35" s="30" t="s">
        <v>47</v>
      </c>
      <c r="C35" s="204" t="s">
        <v>52</v>
      </c>
      <c r="D35" s="204" t="s">
        <v>250</v>
      </c>
    </row>
    <row r="36" spans="1:4" s="278" customFormat="1" ht="54" customHeight="1">
      <c r="A36" s="177">
        <v>16</v>
      </c>
      <c r="B36" s="30" t="s">
        <v>358</v>
      </c>
      <c r="C36" s="204" t="s">
        <v>55</v>
      </c>
      <c r="D36" s="204" t="s">
        <v>1096</v>
      </c>
    </row>
    <row r="37" spans="1:4" s="278" customFormat="1" ht="34.9" customHeight="1">
      <c r="A37" s="177">
        <v>17</v>
      </c>
      <c r="B37" s="30" t="s">
        <v>359</v>
      </c>
      <c r="C37" s="204" t="s">
        <v>57</v>
      </c>
      <c r="D37" s="204" t="s">
        <v>1097</v>
      </c>
    </row>
    <row r="38" spans="1:4" s="278" customFormat="1" ht="34.9" customHeight="1">
      <c r="A38" s="177">
        <v>18</v>
      </c>
      <c r="B38" s="28" t="s">
        <v>48</v>
      </c>
      <c r="C38" s="204" t="s">
        <v>59</v>
      </c>
      <c r="D38" s="204" t="s">
        <v>252</v>
      </c>
    </row>
    <row r="39" spans="1:4" s="278" customFormat="1" ht="33" customHeight="1">
      <c r="A39" s="46" t="s">
        <v>60</v>
      </c>
      <c r="B39" s="28" t="s">
        <v>61</v>
      </c>
      <c r="C39" s="505" t="s">
        <v>62</v>
      </c>
      <c r="D39" s="505"/>
    </row>
    <row r="40" spans="1:4" s="278" customFormat="1" ht="34.9" customHeight="1">
      <c r="A40" s="177">
        <v>19</v>
      </c>
      <c r="B40" s="30" t="s">
        <v>63</v>
      </c>
      <c r="C40" s="204" t="s">
        <v>1150</v>
      </c>
      <c r="D40" s="204" t="s">
        <v>1151</v>
      </c>
    </row>
    <row r="41" spans="1:4" s="278" customFormat="1" ht="33" hidden="1" customHeight="1">
      <c r="A41" s="46" t="s">
        <v>66</v>
      </c>
      <c r="B41" s="28" t="s">
        <v>67</v>
      </c>
      <c r="C41" s="505" t="s">
        <v>68</v>
      </c>
      <c r="D41" s="505"/>
    </row>
    <row r="42" spans="1:4" s="278" customFormat="1" ht="34.9" hidden="1" customHeight="1">
      <c r="A42" s="177">
        <v>25</v>
      </c>
      <c r="B42" s="30" t="s">
        <v>69</v>
      </c>
      <c r="C42" s="204" t="s">
        <v>254</v>
      </c>
      <c r="D42" s="204" t="s">
        <v>255</v>
      </c>
    </row>
    <row r="43" spans="1:4" s="278" customFormat="1" ht="55.5" hidden="1" customHeight="1">
      <c r="A43" s="177">
        <f>+A42+1</f>
        <v>26</v>
      </c>
      <c r="B43" s="30" t="s">
        <v>71</v>
      </c>
      <c r="C43" s="204" t="s">
        <v>256</v>
      </c>
      <c r="D43" s="204" t="s">
        <v>257</v>
      </c>
    </row>
    <row r="44" spans="1:4" s="278" customFormat="1" ht="34.9" hidden="1" customHeight="1">
      <c r="A44" s="177">
        <f t="shared" ref="A44:A49" si="0">+A43+1</f>
        <v>27</v>
      </c>
      <c r="B44" s="30" t="s">
        <v>73</v>
      </c>
      <c r="C44" s="204" t="s">
        <v>254</v>
      </c>
      <c r="D44" s="204" t="s">
        <v>360</v>
      </c>
    </row>
    <row r="45" spans="1:4" s="278" customFormat="1" ht="34.9" hidden="1" customHeight="1">
      <c r="A45" s="177">
        <f t="shared" si="0"/>
        <v>28</v>
      </c>
      <c r="B45" s="30" t="s">
        <v>75</v>
      </c>
      <c r="C45" s="204" t="s">
        <v>254</v>
      </c>
      <c r="D45" s="204" t="s">
        <v>259</v>
      </c>
    </row>
    <row r="46" spans="1:4" s="278" customFormat="1" ht="34.9" hidden="1" customHeight="1">
      <c r="A46" s="177">
        <f t="shared" si="0"/>
        <v>29</v>
      </c>
      <c r="B46" s="30" t="s">
        <v>77</v>
      </c>
      <c r="C46" s="204" t="s">
        <v>260</v>
      </c>
      <c r="D46" s="204" t="s">
        <v>261</v>
      </c>
    </row>
    <row r="47" spans="1:4" s="278" customFormat="1" ht="34.9" hidden="1" customHeight="1">
      <c r="A47" s="177">
        <f t="shared" si="0"/>
        <v>30</v>
      </c>
      <c r="B47" s="30" t="s">
        <v>79</v>
      </c>
      <c r="C47" s="204" t="s">
        <v>262</v>
      </c>
      <c r="D47" s="204" t="s">
        <v>263</v>
      </c>
    </row>
    <row r="48" spans="1:4" s="278" customFormat="1" ht="34.9" hidden="1" customHeight="1">
      <c r="A48" s="177">
        <f t="shared" si="0"/>
        <v>31</v>
      </c>
      <c r="B48" s="30" t="s">
        <v>81</v>
      </c>
      <c r="C48" s="204" t="s">
        <v>262</v>
      </c>
      <c r="D48" s="204" t="s">
        <v>264</v>
      </c>
    </row>
    <row r="49" spans="1:4" s="278" customFormat="1" ht="34.9" hidden="1" customHeight="1">
      <c r="A49" s="177">
        <f t="shared" si="0"/>
        <v>32</v>
      </c>
      <c r="B49" s="30" t="s">
        <v>83</v>
      </c>
      <c r="C49" s="204" t="s">
        <v>265</v>
      </c>
      <c r="D49" s="204" t="s">
        <v>266</v>
      </c>
    </row>
    <row r="50" spans="1:4" s="278" customFormat="1" ht="37.15" hidden="1" customHeight="1">
      <c r="A50" s="46" t="s">
        <v>86</v>
      </c>
      <c r="B50" s="28" t="s">
        <v>87</v>
      </c>
      <c r="C50" s="505" t="s">
        <v>88</v>
      </c>
      <c r="D50" s="505"/>
    </row>
    <row r="51" spans="1:4" s="278" customFormat="1" ht="24" hidden="1" customHeight="1">
      <c r="A51" s="28" t="s">
        <v>89</v>
      </c>
      <c r="B51" s="28" t="s">
        <v>90</v>
      </c>
      <c r="C51" s="102" t="s">
        <v>91</v>
      </c>
      <c r="D51" s="102"/>
    </row>
    <row r="52" spans="1:4" s="278" customFormat="1" ht="34.9" hidden="1" customHeight="1">
      <c r="A52" s="177">
        <f>+A49+1</f>
        <v>33</v>
      </c>
      <c r="B52" s="30" t="s">
        <v>92</v>
      </c>
      <c r="C52" s="204" t="s">
        <v>93</v>
      </c>
      <c r="D52" s="204" t="s">
        <v>267</v>
      </c>
    </row>
    <row r="53" spans="1:4" s="278" customFormat="1" ht="34.9" hidden="1" customHeight="1">
      <c r="A53" s="177">
        <f>+A52+1</f>
        <v>34</v>
      </c>
      <c r="B53" s="30" t="s">
        <v>94</v>
      </c>
      <c r="C53" s="204" t="s">
        <v>95</v>
      </c>
      <c r="D53" s="204" t="s">
        <v>268</v>
      </c>
    </row>
    <row r="54" spans="1:4" s="278" customFormat="1" ht="16.5" hidden="1">
      <c r="A54" s="28" t="s">
        <v>96</v>
      </c>
      <c r="B54" s="28" t="s">
        <v>97</v>
      </c>
      <c r="C54" s="102" t="s">
        <v>98</v>
      </c>
      <c r="D54" s="102"/>
    </row>
    <row r="55" spans="1:4" s="278" customFormat="1" ht="34.9" hidden="1" customHeight="1">
      <c r="A55" s="177">
        <f>+A53+1</f>
        <v>35</v>
      </c>
      <c r="B55" s="30" t="s">
        <v>99</v>
      </c>
      <c r="C55" s="204" t="s">
        <v>100</v>
      </c>
      <c r="D55" s="204" t="s">
        <v>269</v>
      </c>
    </row>
    <row r="56" spans="1:4" s="278" customFormat="1" ht="34.9" hidden="1" customHeight="1">
      <c r="A56" s="177">
        <f>+A55+1</f>
        <v>36</v>
      </c>
      <c r="B56" s="30" t="s">
        <v>101</v>
      </c>
      <c r="C56" s="204" t="s">
        <v>102</v>
      </c>
      <c r="D56" s="204" t="s">
        <v>269</v>
      </c>
    </row>
    <row r="57" spans="1:4" s="278" customFormat="1" ht="24" hidden="1" customHeight="1">
      <c r="A57" s="28" t="s">
        <v>103</v>
      </c>
      <c r="B57" s="28" t="s">
        <v>104</v>
      </c>
      <c r="C57" s="102" t="s">
        <v>105</v>
      </c>
      <c r="D57" s="102" t="s">
        <v>65</v>
      </c>
    </row>
    <row r="58" spans="1:4" s="278" customFormat="1" ht="34.9" hidden="1" customHeight="1">
      <c r="A58" s="177">
        <f>A56+1</f>
        <v>37</v>
      </c>
      <c r="B58" s="30" t="s">
        <v>106</v>
      </c>
      <c r="C58" s="204" t="s">
        <v>270</v>
      </c>
      <c r="D58" s="204" t="s">
        <v>269</v>
      </c>
    </row>
    <row r="59" spans="1:4" s="278" customFormat="1" ht="34.9" hidden="1" customHeight="1">
      <c r="A59" s="177">
        <f t="shared" ref="A59:A65" si="1">A58+1</f>
        <v>38</v>
      </c>
      <c r="B59" s="30" t="s">
        <v>108</v>
      </c>
      <c r="C59" s="204" t="s">
        <v>271</v>
      </c>
      <c r="D59" s="204" t="s">
        <v>269</v>
      </c>
    </row>
    <row r="60" spans="1:4" s="278" customFormat="1" ht="34.9" hidden="1" customHeight="1">
      <c r="A60" s="177">
        <f t="shared" si="1"/>
        <v>39</v>
      </c>
      <c r="B60" s="30" t="s">
        <v>110</v>
      </c>
      <c r="C60" s="204" t="s">
        <v>272</v>
      </c>
      <c r="D60" s="204" t="s">
        <v>273</v>
      </c>
    </row>
    <row r="61" spans="1:4" s="278" customFormat="1" ht="34.9" hidden="1" customHeight="1">
      <c r="A61" s="177">
        <f t="shared" si="1"/>
        <v>40</v>
      </c>
      <c r="B61" s="30" t="s">
        <v>112</v>
      </c>
      <c r="C61" s="204" t="s">
        <v>274</v>
      </c>
      <c r="D61" s="204" t="s">
        <v>273</v>
      </c>
    </row>
    <row r="62" spans="1:4" s="278" customFormat="1" ht="34.9" hidden="1" customHeight="1">
      <c r="A62" s="177">
        <f t="shared" si="1"/>
        <v>41</v>
      </c>
      <c r="B62" s="30" t="s">
        <v>114</v>
      </c>
      <c r="C62" s="204" t="s">
        <v>275</v>
      </c>
      <c r="D62" s="204" t="s">
        <v>273</v>
      </c>
    </row>
    <row r="63" spans="1:4" s="278" customFormat="1" ht="34.9" hidden="1" customHeight="1">
      <c r="A63" s="177">
        <f t="shared" si="1"/>
        <v>42</v>
      </c>
      <c r="B63" s="30" t="s">
        <v>116</v>
      </c>
      <c r="C63" s="204" t="s">
        <v>276</v>
      </c>
      <c r="D63" s="204" t="s">
        <v>273</v>
      </c>
    </row>
    <row r="64" spans="1:4" s="278" customFormat="1" ht="34.9" hidden="1" customHeight="1">
      <c r="A64" s="177">
        <f t="shared" si="1"/>
        <v>43</v>
      </c>
      <c r="B64" s="30" t="s">
        <v>118</v>
      </c>
      <c r="C64" s="204" t="s">
        <v>277</v>
      </c>
      <c r="D64" s="204" t="s">
        <v>273</v>
      </c>
    </row>
    <row r="65" spans="1:4" s="278" customFormat="1" ht="34.9" hidden="1" customHeight="1">
      <c r="A65" s="177">
        <f t="shared" si="1"/>
        <v>44</v>
      </c>
      <c r="B65" s="30" t="s">
        <v>120</v>
      </c>
      <c r="C65" s="204" t="s">
        <v>278</v>
      </c>
      <c r="D65" s="204" t="s">
        <v>273</v>
      </c>
    </row>
    <row r="66" spans="1:4" s="278" customFormat="1" ht="24" hidden="1" customHeight="1">
      <c r="A66" s="28"/>
      <c r="B66" s="28" t="s">
        <v>122</v>
      </c>
      <c r="C66" s="102" t="s">
        <v>123</v>
      </c>
      <c r="D66" s="102"/>
    </row>
    <row r="67" spans="1:4" s="278" customFormat="1" ht="34.9" hidden="1" customHeight="1">
      <c r="A67" s="177">
        <f>A65+1</f>
        <v>45</v>
      </c>
      <c r="B67" s="30" t="s">
        <v>124</v>
      </c>
      <c r="C67" s="204" t="s">
        <v>125</v>
      </c>
      <c r="D67" s="204" t="s">
        <v>279</v>
      </c>
    </row>
    <row r="68" spans="1:4" s="278" customFormat="1" ht="34.9" hidden="1" customHeight="1">
      <c r="A68" s="177">
        <f>A67+1</f>
        <v>46</v>
      </c>
      <c r="B68" s="30" t="s">
        <v>127</v>
      </c>
      <c r="C68" s="204" t="s">
        <v>128</v>
      </c>
      <c r="D68" s="204" t="s">
        <v>280</v>
      </c>
    </row>
    <row r="69" spans="1:4" s="278" customFormat="1" ht="34.9" hidden="1" customHeight="1">
      <c r="A69" s="177">
        <f>A68+1</f>
        <v>47</v>
      </c>
      <c r="B69" s="30" t="s">
        <v>129</v>
      </c>
      <c r="C69" s="204" t="s">
        <v>130</v>
      </c>
      <c r="D69" s="204" t="s">
        <v>280</v>
      </c>
    </row>
    <row r="70" spans="1:4" s="278" customFormat="1" ht="34.9" hidden="1" customHeight="1">
      <c r="A70" s="177"/>
      <c r="B70" s="30" t="s">
        <v>131</v>
      </c>
      <c r="C70" s="204" t="s">
        <v>131</v>
      </c>
      <c r="D70" s="204"/>
    </row>
    <row r="71" spans="1:4" s="278" customFormat="1" ht="24" hidden="1" customHeight="1">
      <c r="A71" s="28"/>
      <c r="B71" s="28" t="s">
        <v>132</v>
      </c>
      <c r="C71" s="102" t="s">
        <v>133</v>
      </c>
      <c r="D71" s="102"/>
    </row>
    <row r="72" spans="1:4" s="278" customFormat="1" ht="34.9" hidden="1" customHeight="1">
      <c r="A72" s="177">
        <f>A69+1</f>
        <v>48</v>
      </c>
      <c r="B72" s="30" t="s">
        <v>134</v>
      </c>
      <c r="C72" s="204" t="s">
        <v>131</v>
      </c>
      <c r="D72" s="204" t="s">
        <v>281</v>
      </c>
    </row>
    <row r="73" spans="1:4" s="278" customFormat="1" ht="34.9" hidden="1" customHeight="1">
      <c r="A73" s="177">
        <f>A72+1</f>
        <v>49</v>
      </c>
      <c r="B73" s="30" t="s">
        <v>135</v>
      </c>
      <c r="C73" s="204" t="s">
        <v>131</v>
      </c>
      <c r="D73" s="204" t="s">
        <v>281</v>
      </c>
    </row>
    <row r="74" spans="1:4" s="278" customFormat="1" ht="24" hidden="1" customHeight="1">
      <c r="A74" s="28"/>
      <c r="B74" s="28" t="s">
        <v>136</v>
      </c>
      <c r="C74" s="102" t="s">
        <v>137</v>
      </c>
      <c r="D74" s="102"/>
    </row>
    <row r="75" spans="1:4" s="278" customFormat="1" ht="34.9" hidden="1" customHeight="1">
      <c r="A75" s="177">
        <f>A73+1</f>
        <v>50</v>
      </c>
      <c r="B75" s="30" t="s">
        <v>138</v>
      </c>
      <c r="C75" s="204" t="s">
        <v>139</v>
      </c>
      <c r="D75" s="204" t="s">
        <v>282</v>
      </c>
    </row>
    <row r="76" spans="1:4" s="278" customFormat="1" ht="34.9" hidden="1" customHeight="1">
      <c r="A76" s="177">
        <f>+A75+1</f>
        <v>51</v>
      </c>
      <c r="B76" s="30" t="s">
        <v>140</v>
      </c>
      <c r="C76" s="204" t="s">
        <v>141</v>
      </c>
      <c r="D76" s="204" t="s">
        <v>282</v>
      </c>
    </row>
    <row r="77" spans="1:4" s="278" customFormat="1" ht="34.9" hidden="1" customHeight="1">
      <c r="A77" s="177">
        <f t="shared" ref="A77:A82" si="2">+A76+1</f>
        <v>52</v>
      </c>
      <c r="B77" s="30" t="s">
        <v>142</v>
      </c>
      <c r="C77" s="204" t="s">
        <v>143</v>
      </c>
      <c r="D77" s="204" t="s">
        <v>282</v>
      </c>
    </row>
    <row r="78" spans="1:4" s="278" customFormat="1" ht="34.9" hidden="1" customHeight="1">
      <c r="A78" s="177">
        <f t="shared" si="2"/>
        <v>53</v>
      </c>
      <c r="B78" s="30" t="s">
        <v>144</v>
      </c>
      <c r="C78" s="204" t="s">
        <v>145</v>
      </c>
      <c r="D78" s="204" t="s">
        <v>282</v>
      </c>
    </row>
    <row r="79" spans="1:4" s="278" customFormat="1" ht="34.9" hidden="1" customHeight="1">
      <c r="A79" s="177">
        <f t="shared" si="2"/>
        <v>54</v>
      </c>
      <c r="B79" s="30" t="s">
        <v>146</v>
      </c>
      <c r="C79" s="204" t="s">
        <v>147</v>
      </c>
      <c r="D79" s="204" t="s">
        <v>282</v>
      </c>
    </row>
    <row r="80" spans="1:4" s="278" customFormat="1" ht="34.9" hidden="1" customHeight="1">
      <c r="A80" s="177">
        <f t="shared" si="2"/>
        <v>55</v>
      </c>
      <c r="B80" s="30" t="s">
        <v>148</v>
      </c>
      <c r="C80" s="204" t="s">
        <v>149</v>
      </c>
      <c r="D80" s="204" t="s">
        <v>282</v>
      </c>
    </row>
    <row r="81" spans="1:4" s="278" customFormat="1" ht="34.9" hidden="1" customHeight="1">
      <c r="A81" s="177">
        <f t="shared" si="2"/>
        <v>56</v>
      </c>
      <c r="B81" s="30" t="s">
        <v>150</v>
      </c>
      <c r="C81" s="204" t="s">
        <v>151</v>
      </c>
      <c r="D81" s="204" t="s">
        <v>282</v>
      </c>
    </row>
    <row r="82" spans="1:4" s="278" customFormat="1" ht="34.9" hidden="1" customHeight="1">
      <c r="A82" s="177">
        <f t="shared" si="2"/>
        <v>57</v>
      </c>
      <c r="B82" s="30" t="s">
        <v>152</v>
      </c>
      <c r="C82" s="204" t="s">
        <v>153</v>
      </c>
      <c r="D82" s="204" t="s">
        <v>282</v>
      </c>
    </row>
    <row r="83" spans="1:4" s="278" customFormat="1" ht="34.9" hidden="1" customHeight="1">
      <c r="A83" s="177"/>
      <c r="B83" s="30" t="s">
        <v>154</v>
      </c>
      <c r="C83" s="204" t="s">
        <v>155</v>
      </c>
      <c r="D83" s="204" t="s">
        <v>281</v>
      </c>
    </row>
    <row r="84" spans="1:4" s="278" customFormat="1" ht="24" hidden="1" customHeight="1">
      <c r="A84" s="28"/>
      <c r="B84" s="28" t="s">
        <v>156</v>
      </c>
      <c r="C84" s="102" t="s">
        <v>157</v>
      </c>
      <c r="D84" s="102"/>
    </row>
    <row r="85" spans="1:4" s="278" customFormat="1" ht="34.9" hidden="1" customHeight="1">
      <c r="A85" s="177">
        <f>A82+1</f>
        <v>58</v>
      </c>
      <c r="B85" s="30" t="s">
        <v>158</v>
      </c>
      <c r="C85" s="204" t="s">
        <v>131</v>
      </c>
      <c r="D85" s="204" t="s">
        <v>282</v>
      </c>
    </row>
    <row r="86" spans="1:4" s="278" customFormat="1" ht="34.9" hidden="1" customHeight="1">
      <c r="A86" s="177">
        <f>A85+1</f>
        <v>59</v>
      </c>
      <c r="B86" s="30" t="s">
        <v>159</v>
      </c>
      <c r="C86" s="204" t="s">
        <v>131</v>
      </c>
      <c r="D86" s="204" t="s">
        <v>282</v>
      </c>
    </row>
    <row r="87" spans="1:4" s="278" customFormat="1" ht="24" hidden="1" customHeight="1">
      <c r="A87" s="28"/>
      <c r="B87" s="28" t="s">
        <v>160</v>
      </c>
      <c r="C87" s="102" t="s">
        <v>161</v>
      </c>
      <c r="D87" s="102"/>
    </row>
    <row r="88" spans="1:4" s="278" customFormat="1" ht="34.9" hidden="1" customHeight="1">
      <c r="A88" s="177">
        <f>A86+1</f>
        <v>60</v>
      </c>
      <c r="B88" s="30" t="s">
        <v>162</v>
      </c>
      <c r="C88" s="204" t="s">
        <v>163</v>
      </c>
      <c r="D88" s="204" t="s">
        <v>282</v>
      </c>
    </row>
    <row r="89" spans="1:4" s="278" customFormat="1" ht="34.9" hidden="1" customHeight="1">
      <c r="A89" s="177">
        <f>A88+1</f>
        <v>61</v>
      </c>
      <c r="B89" s="30" t="s">
        <v>164</v>
      </c>
      <c r="C89" s="204" t="s">
        <v>165</v>
      </c>
      <c r="D89" s="204" t="s">
        <v>282</v>
      </c>
    </row>
    <row r="90" spans="1:4" s="278" customFormat="1" ht="34.9" hidden="1" customHeight="1">
      <c r="A90" s="177"/>
      <c r="B90" s="30" t="s">
        <v>131</v>
      </c>
      <c r="C90" s="204" t="s">
        <v>131</v>
      </c>
      <c r="D90" s="204" t="s">
        <v>282</v>
      </c>
    </row>
    <row r="91" spans="1:4" s="278" customFormat="1" ht="24" hidden="1" customHeight="1">
      <c r="A91" s="28"/>
      <c r="B91" s="28" t="s">
        <v>166</v>
      </c>
      <c r="C91" s="102" t="s">
        <v>167</v>
      </c>
      <c r="D91" s="102" t="s">
        <v>65</v>
      </c>
    </row>
    <row r="92" spans="1:4" s="278" customFormat="1" ht="34.9" hidden="1" customHeight="1">
      <c r="A92" s="177">
        <f>A89+1</f>
        <v>62</v>
      </c>
      <c r="B92" s="30" t="s">
        <v>168</v>
      </c>
      <c r="C92" s="204" t="s">
        <v>131</v>
      </c>
      <c r="D92" s="204" t="s">
        <v>282</v>
      </c>
    </row>
    <row r="93" spans="1:4" s="278" customFormat="1" ht="34.9" hidden="1" customHeight="1">
      <c r="A93" s="177">
        <f>A92+1</f>
        <v>63</v>
      </c>
      <c r="B93" s="30" t="s">
        <v>169</v>
      </c>
      <c r="C93" s="204" t="s">
        <v>131</v>
      </c>
      <c r="D93" s="204" t="s">
        <v>282</v>
      </c>
    </row>
    <row r="94" spans="1:4" s="278" customFormat="1" ht="24" hidden="1" customHeight="1">
      <c r="A94" s="28"/>
      <c r="B94" s="28" t="s">
        <v>170</v>
      </c>
      <c r="C94" s="102" t="s">
        <v>171</v>
      </c>
      <c r="D94" s="102" t="s">
        <v>65</v>
      </c>
    </row>
    <row r="95" spans="1:4" s="278" customFormat="1" ht="34.9" hidden="1" customHeight="1">
      <c r="A95" s="177">
        <f>A93+1</f>
        <v>64</v>
      </c>
      <c r="B95" s="30" t="s">
        <v>172</v>
      </c>
      <c r="C95" s="204" t="s">
        <v>131</v>
      </c>
      <c r="D95" s="204" t="s">
        <v>283</v>
      </c>
    </row>
    <row r="96" spans="1:4" s="278" customFormat="1" ht="34.9" hidden="1" customHeight="1">
      <c r="A96" s="177">
        <f>A95+1</f>
        <v>65</v>
      </c>
      <c r="B96" s="30" t="s">
        <v>173</v>
      </c>
      <c r="C96" s="204" t="s">
        <v>131</v>
      </c>
      <c r="D96" s="204" t="s">
        <v>283</v>
      </c>
    </row>
    <row r="97" spans="1:4" s="278" customFormat="1" ht="24" hidden="1" customHeight="1">
      <c r="A97" s="28"/>
      <c r="B97" s="28" t="s">
        <v>174</v>
      </c>
      <c r="C97" s="102" t="s">
        <v>175</v>
      </c>
      <c r="D97" s="102" t="s">
        <v>65</v>
      </c>
    </row>
    <row r="98" spans="1:4" s="278" customFormat="1" ht="34.9" hidden="1" customHeight="1">
      <c r="A98" s="177">
        <f>A96+1</f>
        <v>66</v>
      </c>
      <c r="B98" s="30" t="s">
        <v>176</v>
      </c>
      <c r="C98" s="204" t="s">
        <v>177</v>
      </c>
      <c r="D98" s="204" t="s">
        <v>282</v>
      </c>
    </row>
    <row r="99" spans="1:4" s="278" customFormat="1" ht="34.9" hidden="1" customHeight="1">
      <c r="A99" s="177">
        <f>A98+1</f>
        <v>67</v>
      </c>
      <c r="B99" s="30" t="s">
        <v>178</v>
      </c>
      <c r="C99" s="204" t="s">
        <v>179</v>
      </c>
      <c r="D99" s="204" t="s">
        <v>282</v>
      </c>
    </row>
    <row r="100" spans="1:4" s="278" customFormat="1" ht="34.9" hidden="1" customHeight="1">
      <c r="A100" s="177">
        <f>A99+1</f>
        <v>68</v>
      </c>
      <c r="B100" s="30" t="s">
        <v>180</v>
      </c>
      <c r="C100" s="204" t="s">
        <v>181</v>
      </c>
      <c r="D100" s="204" t="s">
        <v>283</v>
      </c>
    </row>
    <row r="101" spans="1:4" s="278" customFormat="1" ht="34.9" hidden="1" customHeight="1">
      <c r="A101" s="177">
        <f>A100+1</f>
        <v>69</v>
      </c>
      <c r="B101" s="30" t="s">
        <v>182</v>
      </c>
      <c r="C101" s="204" t="s">
        <v>183</v>
      </c>
      <c r="D101" s="204" t="s">
        <v>283</v>
      </c>
    </row>
    <row r="102" spans="1:4" s="278" customFormat="1" ht="34.9" hidden="1" customHeight="1">
      <c r="A102" s="177">
        <f>A101+1</f>
        <v>70</v>
      </c>
      <c r="B102" s="30" t="s">
        <v>184</v>
      </c>
      <c r="C102" s="204" t="s">
        <v>185</v>
      </c>
      <c r="D102" s="204" t="s">
        <v>283</v>
      </c>
    </row>
    <row r="103" spans="1:4" s="278" customFormat="1" ht="34.9" hidden="1" customHeight="1">
      <c r="A103" s="177"/>
      <c r="B103" s="30" t="s">
        <v>131</v>
      </c>
      <c r="C103" s="204" t="s">
        <v>131</v>
      </c>
      <c r="D103" s="204" t="s">
        <v>283</v>
      </c>
    </row>
    <row r="104" spans="1:4" s="278" customFormat="1" ht="45" hidden="1" customHeight="1">
      <c r="A104" s="28"/>
      <c r="B104" s="28" t="s">
        <v>186</v>
      </c>
      <c r="C104" s="102" t="s">
        <v>187</v>
      </c>
      <c r="D104" s="102" t="s">
        <v>187</v>
      </c>
    </row>
    <row r="105" spans="1:4" s="278" customFormat="1" ht="34.9" hidden="1" customHeight="1">
      <c r="A105" s="177">
        <f>A102+1</f>
        <v>71</v>
      </c>
      <c r="B105" s="30" t="s">
        <v>188</v>
      </c>
      <c r="C105" s="204" t="s">
        <v>189</v>
      </c>
      <c r="D105" s="204" t="s">
        <v>284</v>
      </c>
    </row>
    <row r="106" spans="1:4" s="278" customFormat="1" ht="34.9" hidden="1" customHeight="1">
      <c r="A106" s="177">
        <f>A105+1</f>
        <v>72</v>
      </c>
      <c r="B106" s="30" t="s">
        <v>190</v>
      </c>
      <c r="C106" s="204" t="s">
        <v>191</v>
      </c>
      <c r="D106" s="204" t="s">
        <v>285</v>
      </c>
    </row>
    <row r="107" spans="1:4" s="278" customFormat="1" ht="34.9" hidden="1" customHeight="1">
      <c r="A107" s="177"/>
      <c r="B107" s="30" t="s">
        <v>131</v>
      </c>
      <c r="C107" s="204" t="s">
        <v>131</v>
      </c>
      <c r="D107" s="204" t="s">
        <v>131</v>
      </c>
    </row>
    <row r="108" spans="1:4" s="278" customFormat="1" ht="39" hidden="1" customHeight="1">
      <c r="A108" s="28"/>
      <c r="B108" s="28" t="s">
        <v>192</v>
      </c>
      <c r="C108" s="102" t="s">
        <v>193</v>
      </c>
      <c r="D108" s="102" t="s">
        <v>286</v>
      </c>
    </row>
    <row r="109" spans="1:4" s="278" customFormat="1" ht="16.5" hidden="1">
      <c r="A109" s="177"/>
      <c r="B109" s="30" t="s">
        <v>131</v>
      </c>
      <c r="C109" s="204" t="s">
        <v>131</v>
      </c>
      <c r="D109" s="204"/>
    </row>
    <row r="110" spans="1:4" s="278" customFormat="1" ht="60.6" hidden="1" customHeight="1">
      <c r="A110" s="28"/>
      <c r="B110" s="28" t="s">
        <v>194</v>
      </c>
      <c r="C110" s="102" t="s">
        <v>195</v>
      </c>
      <c r="D110" s="102" t="s">
        <v>287</v>
      </c>
    </row>
    <row r="111" spans="1:4" s="278" customFormat="1" ht="16.5" hidden="1">
      <c r="A111" s="177"/>
      <c r="B111" s="30" t="s">
        <v>131</v>
      </c>
      <c r="C111" s="204" t="s">
        <v>131</v>
      </c>
      <c r="D111" s="204"/>
    </row>
    <row r="112" spans="1:4" s="278" customFormat="1" ht="81" hidden="1" customHeight="1">
      <c r="A112" s="28"/>
      <c r="B112" s="28" t="s">
        <v>196</v>
      </c>
      <c r="C112" s="102" t="s">
        <v>197</v>
      </c>
      <c r="D112" s="102" t="s">
        <v>288</v>
      </c>
    </row>
    <row r="113" spans="1:4" s="278" customFormat="1" ht="40.9" hidden="1" customHeight="1">
      <c r="A113" s="177"/>
      <c r="B113" s="30" t="s">
        <v>198</v>
      </c>
      <c r="C113" s="204" t="s">
        <v>199</v>
      </c>
      <c r="D113" s="204" t="s">
        <v>289</v>
      </c>
    </row>
    <row r="114" spans="1:4" s="278" customFormat="1" ht="40.9" hidden="1" customHeight="1">
      <c r="A114" s="177"/>
      <c r="B114" s="30" t="s">
        <v>131</v>
      </c>
      <c r="C114" s="204" t="s">
        <v>131</v>
      </c>
      <c r="D114" s="204" t="s">
        <v>290</v>
      </c>
    </row>
    <row r="115" spans="1:4" s="278" customFormat="1" ht="51.6" hidden="1" customHeight="1">
      <c r="A115" s="28"/>
      <c r="B115" s="28" t="s">
        <v>200</v>
      </c>
      <c r="C115" s="102" t="s">
        <v>201</v>
      </c>
      <c r="D115" s="102" t="s">
        <v>291</v>
      </c>
    </row>
    <row r="116" spans="1:4" s="278" customFormat="1" ht="16.5" hidden="1">
      <c r="A116" s="177"/>
      <c r="B116" s="30" t="s">
        <v>131</v>
      </c>
      <c r="C116" s="204" t="s">
        <v>131</v>
      </c>
      <c r="D116" s="204"/>
    </row>
    <row r="117" spans="1:4" s="278" customFormat="1" ht="82.5" hidden="1">
      <c r="A117" s="28"/>
      <c r="B117" s="28" t="s">
        <v>202</v>
      </c>
      <c r="C117" s="102" t="s">
        <v>292</v>
      </c>
      <c r="D117" s="102" t="s">
        <v>293</v>
      </c>
    </row>
    <row r="118" spans="1:4" s="278" customFormat="1" ht="16.5" hidden="1">
      <c r="A118" s="177"/>
      <c r="B118" s="30" t="s">
        <v>131</v>
      </c>
      <c r="C118" s="204" t="s">
        <v>131</v>
      </c>
      <c r="D118" s="204"/>
    </row>
    <row r="119" spans="1:4" s="278" customFormat="1" ht="51.6" hidden="1" customHeight="1">
      <c r="A119" s="28"/>
      <c r="B119" s="28" t="s">
        <v>204</v>
      </c>
      <c r="C119" s="102" t="s">
        <v>131</v>
      </c>
      <c r="D119" s="102"/>
    </row>
    <row r="120" spans="1:4" s="278" customFormat="1" ht="37.15" hidden="1" customHeight="1">
      <c r="A120" s="46" t="s">
        <v>205</v>
      </c>
      <c r="B120" s="28" t="s">
        <v>206</v>
      </c>
      <c r="C120" s="505" t="s">
        <v>294</v>
      </c>
      <c r="D120" s="505" t="s">
        <v>295</v>
      </c>
    </row>
    <row r="121" spans="1:4" s="278" customFormat="1" ht="66" hidden="1" customHeight="1">
      <c r="A121" s="177"/>
      <c r="B121" s="30" t="s">
        <v>208</v>
      </c>
      <c r="C121" s="204" t="s">
        <v>209</v>
      </c>
      <c r="D121" s="204" t="s">
        <v>209</v>
      </c>
    </row>
    <row r="122" spans="1:4" s="278" customFormat="1" ht="45.6" hidden="1" customHeight="1">
      <c r="A122" s="46" t="s">
        <v>296</v>
      </c>
      <c r="B122" s="28" t="s">
        <v>297</v>
      </c>
      <c r="C122" s="505" t="s">
        <v>298</v>
      </c>
      <c r="D122" s="505" t="s">
        <v>299</v>
      </c>
    </row>
    <row r="123" spans="1:4" s="278" customFormat="1" ht="66" hidden="1" customHeight="1">
      <c r="A123" s="177"/>
      <c r="B123" s="30" t="s">
        <v>300</v>
      </c>
      <c r="C123" s="204" t="s">
        <v>298</v>
      </c>
      <c r="D123" s="204" t="s">
        <v>301</v>
      </c>
    </row>
    <row r="124" spans="1:4" ht="16.5">
      <c r="A124" s="727" t="s">
        <v>302</v>
      </c>
      <c r="B124" s="727"/>
      <c r="C124" s="727"/>
      <c r="D124" s="727"/>
    </row>
    <row r="125" spans="1:4" s="1" customFormat="1" ht="18" customHeight="1">
      <c r="A125" s="728" t="s">
        <v>303</v>
      </c>
      <c r="B125" s="728"/>
      <c r="C125" s="728"/>
      <c r="D125" s="728"/>
    </row>
    <row r="126" spans="1:4" s="1" customFormat="1" ht="18" customHeight="1">
      <c r="A126" s="728" t="s">
        <v>1104</v>
      </c>
      <c r="B126" s="728"/>
      <c r="C126" s="728"/>
      <c r="D126" s="728"/>
    </row>
    <row r="127" spans="1:4" s="1" customFormat="1" ht="18" customHeight="1">
      <c r="A127" s="728" t="s">
        <v>305</v>
      </c>
      <c r="B127" s="728"/>
      <c r="C127" s="728"/>
      <c r="D127" s="728"/>
    </row>
    <row r="128" spans="1:4" s="1" customFormat="1" ht="18" customHeight="1">
      <c r="A128" s="728" t="s">
        <v>306</v>
      </c>
      <c r="B128" s="728"/>
      <c r="C128" s="728"/>
      <c r="D128" s="728"/>
    </row>
  </sheetData>
  <mergeCells count="20">
    <mergeCell ref="A1:B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124:D124"/>
    <mergeCell ref="A125:D125"/>
    <mergeCell ref="A126:D126"/>
    <mergeCell ref="A127:D127"/>
    <mergeCell ref="A128:D128"/>
  </mergeCells>
  <pageMargins left="0.78740157480314998" right="0.59055118110236204" top="0.78740157480314998" bottom="0.78740157480314998" header="0" footer="0"/>
  <pageSetup scale="4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48"/>
  <sheetViews>
    <sheetView zoomScale="70" zoomScaleNormal="70" workbookViewId="0">
      <selection sqref="A1:K20"/>
    </sheetView>
  </sheetViews>
  <sheetFormatPr defaultColWidth="8.85546875" defaultRowHeight="15"/>
  <cols>
    <col min="1" max="1" width="30.28515625" style="435" customWidth="1"/>
    <col min="2" max="2" width="46.28515625" style="435" customWidth="1"/>
    <col min="3" max="3" width="22.42578125" style="436" customWidth="1"/>
    <col min="4" max="4" width="8.28515625" style="435" customWidth="1"/>
    <col min="5" max="5" width="28.28515625" style="435" customWidth="1"/>
    <col min="6" max="6" width="20" style="437" customWidth="1"/>
    <col min="7" max="7" width="17" style="437" customWidth="1"/>
    <col min="8" max="8" width="15.85546875" style="490" customWidth="1"/>
    <col min="9" max="9" width="18.85546875" style="437" customWidth="1"/>
    <col min="10" max="10" width="16.7109375" style="437" customWidth="1"/>
    <col min="11" max="11" width="18.42578125" style="435" customWidth="1"/>
    <col min="12" max="12" width="15.5703125" style="435" customWidth="1"/>
    <col min="13" max="16384" width="8.85546875" style="435"/>
  </cols>
  <sheetData>
    <row r="1" spans="1:12" s="351" customFormat="1" ht="45" customHeight="1">
      <c r="A1" s="756"/>
      <c r="B1" s="759" t="s">
        <v>361</v>
      </c>
      <c r="C1" s="760"/>
      <c r="D1" s="760"/>
      <c r="E1" s="760"/>
      <c r="F1" s="760"/>
      <c r="G1" s="760"/>
      <c r="H1" s="761"/>
      <c r="I1" s="734" t="s">
        <v>362</v>
      </c>
      <c r="J1" s="735"/>
      <c r="K1" s="735"/>
      <c r="L1" s="353"/>
    </row>
    <row r="2" spans="1:12" s="351" customFormat="1" ht="39" customHeight="1">
      <c r="A2" s="757"/>
      <c r="B2" s="762"/>
      <c r="C2" s="763"/>
      <c r="D2" s="763"/>
      <c r="E2" s="763"/>
      <c r="F2" s="763"/>
      <c r="G2" s="763"/>
      <c r="H2" s="764"/>
      <c r="I2" s="736"/>
      <c r="J2" s="737"/>
      <c r="K2" s="737"/>
      <c r="L2" s="353"/>
    </row>
    <row r="3" spans="1:12" ht="21">
      <c r="A3" s="747"/>
      <c r="B3" s="748"/>
      <c r="C3" s="748"/>
      <c r="D3" s="748"/>
      <c r="E3" s="748"/>
      <c r="F3" s="748"/>
      <c r="G3" s="748"/>
      <c r="H3" s="748"/>
      <c r="I3" s="748"/>
      <c r="J3" s="748"/>
      <c r="K3" s="459"/>
    </row>
    <row r="4" spans="1:12" ht="20.25" hidden="1">
      <c r="A4" s="749" t="s">
        <v>363</v>
      </c>
      <c r="B4" s="749"/>
      <c r="C4" s="749"/>
      <c r="D4" s="492"/>
      <c r="E4" s="493"/>
      <c r="F4" s="750" t="s">
        <v>364</v>
      </c>
      <c r="G4" s="751"/>
      <c r="H4" s="751"/>
      <c r="I4" s="751"/>
      <c r="J4" s="752"/>
      <c r="K4" s="459"/>
    </row>
    <row r="5" spans="1:12" ht="40.5" hidden="1">
      <c r="A5" s="753" t="s">
        <v>365</v>
      </c>
      <c r="B5" s="752"/>
      <c r="C5" s="491" t="s">
        <v>366</v>
      </c>
      <c r="D5" s="492"/>
      <c r="E5" s="493"/>
      <c r="F5" s="750" t="s">
        <v>365</v>
      </c>
      <c r="G5" s="751"/>
      <c r="H5" s="751"/>
      <c r="I5" s="752"/>
      <c r="J5" s="491" t="s">
        <v>366</v>
      </c>
      <c r="K5" s="459"/>
    </row>
    <row r="6" spans="1:12" ht="105.75" hidden="1" customHeight="1">
      <c r="A6" s="745" t="s">
        <v>367</v>
      </c>
      <c r="B6" s="746"/>
      <c r="C6" s="494">
        <v>1</v>
      </c>
      <c r="D6" s="492"/>
      <c r="E6" s="492"/>
      <c r="F6" s="744" t="s">
        <v>368</v>
      </c>
      <c r="G6" s="744"/>
      <c r="H6" s="744"/>
      <c r="I6" s="744"/>
      <c r="J6" s="494">
        <v>1</v>
      </c>
      <c r="K6" s="459"/>
    </row>
    <row r="7" spans="1:12" ht="101.25" hidden="1" customHeight="1">
      <c r="A7" s="738" t="s">
        <v>369</v>
      </c>
      <c r="B7" s="739"/>
      <c r="C7" s="758">
        <v>2</v>
      </c>
      <c r="D7" s="492"/>
      <c r="E7" s="492"/>
      <c r="F7" s="744" t="s">
        <v>370</v>
      </c>
      <c r="G7" s="744"/>
      <c r="H7" s="744"/>
      <c r="I7" s="744"/>
      <c r="J7" s="494">
        <v>2</v>
      </c>
      <c r="K7" s="459"/>
    </row>
    <row r="8" spans="1:12" ht="91.5" hidden="1" customHeight="1">
      <c r="A8" s="740"/>
      <c r="B8" s="741"/>
      <c r="C8" s="758"/>
      <c r="D8" s="492"/>
      <c r="E8" s="492"/>
      <c r="F8" s="744" t="s">
        <v>371</v>
      </c>
      <c r="G8" s="744"/>
      <c r="H8" s="744"/>
      <c r="I8" s="744"/>
      <c r="J8" s="494">
        <v>3</v>
      </c>
      <c r="K8" s="459"/>
    </row>
    <row r="9" spans="1:12" ht="58.5" hidden="1" customHeight="1">
      <c r="A9" s="745" t="s">
        <v>372</v>
      </c>
      <c r="B9" s="746"/>
      <c r="C9" s="494">
        <v>3</v>
      </c>
      <c r="D9" s="492"/>
      <c r="E9" s="492"/>
      <c r="F9" s="744" t="s">
        <v>373</v>
      </c>
      <c r="G9" s="744"/>
      <c r="H9" s="744"/>
      <c r="I9" s="744"/>
      <c r="J9" s="494">
        <v>4</v>
      </c>
      <c r="K9" s="459"/>
    </row>
    <row r="10" spans="1:12" ht="45" hidden="1" customHeight="1">
      <c r="A10" s="738" t="s">
        <v>374</v>
      </c>
      <c r="B10" s="739"/>
      <c r="C10" s="758">
        <v>4</v>
      </c>
      <c r="D10" s="492"/>
      <c r="E10" s="492"/>
      <c r="F10" s="744" t="s">
        <v>375</v>
      </c>
      <c r="G10" s="744"/>
      <c r="H10" s="744"/>
      <c r="I10" s="744"/>
      <c r="J10" s="494">
        <v>5</v>
      </c>
      <c r="K10" s="459"/>
    </row>
    <row r="11" spans="1:12" ht="37.5" hidden="1" customHeight="1">
      <c r="A11" s="740"/>
      <c r="B11" s="741"/>
      <c r="C11" s="758"/>
      <c r="D11" s="773"/>
      <c r="E11" s="774"/>
      <c r="F11" s="744" t="s">
        <v>376</v>
      </c>
      <c r="G11" s="744"/>
      <c r="H11" s="744"/>
      <c r="I11" s="744"/>
      <c r="J11" s="494">
        <v>6</v>
      </c>
      <c r="K11" s="459"/>
    </row>
    <row r="12" spans="1:12">
      <c r="A12" s="775"/>
      <c r="B12" s="776"/>
      <c r="C12" s="776"/>
      <c r="D12" s="776"/>
      <c r="E12" s="776"/>
      <c r="F12" s="776"/>
      <c r="G12" s="776"/>
      <c r="H12" s="776"/>
      <c r="I12" s="776"/>
      <c r="J12" s="776"/>
      <c r="K12" s="777"/>
    </row>
    <row r="13" spans="1:12" ht="86.25">
      <c r="A13" s="442" t="s">
        <v>377</v>
      </c>
      <c r="B13" s="443" t="s">
        <v>378</v>
      </c>
      <c r="C13" s="443" t="s">
        <v>379</v>
      </c>
      <c r="D13" s="443" t="s">
        <v>380</v>
      </c>
      <c r="E13" s="443" t="s">
        <v>381</v>
      </c>
      <c r="F13" s="443" t="s">
        <v>382</v>
      </c>
      <c r="G13" s="443" t="s">
        <v>383</v>
      </c>
      <c r="H13" s="495" t="s">
        <v>384</v>
      </c>
      <c r="I13" s="443" t="s">
        <v>385</v>
      </c>
      <c r="J13" s="443" t="s">
        <v>386</v>
      </c>
      <c r="K13" s="460" t="s">
        <v>387</v>
      </c>
    </row>
    <row r="14" spans="1:12" ht="28.5" customHeight="1">
      <c r="A14" s="569" t="s">
        <v>9</v>
      </c>
      <c r="B14" s="445" t="s">
        <v>388</v>
      </c>
      <c r="C14" s="446"/>
      <c r="D14" s="446"/>
      <c r="E14" s="446"/>
      <c r="F14" s="446"/>
      <c r="G14" s="446"/>
      <c r="H14" s="496"/>
      <c r="I14" s="446"/>
      <c r="J14" s="446"/>
      <c r="K14" s="461"/>
    </row>
    <row r="15" spans="1:12" ht="28.5" customHeight="1">
      <c r="A15" s="444">
        <v>1.1000000000000001</v>
      </c>
      <c r="B15" s="445" t="s">
        <v>12</v>
      </c>
      <c r="C15" s="446"/>
      <c r="D15" s="446"/>
      <c r="E15" s="446"/>
      <c r="F15" s="446"/>
      <c r="G15" s="446"/>
      <c r="H15" s="496"/>
      <c r="I15" s="446"/>
      <c r="J15" s="446"/>
      <c r="K15" s="461"/>
    </row>
    <row r="16" spans="1:12" ht="33">
      <c r="A16" s="448" t="s">
        <v>13</v>
      </c>
      <c r="B16" s="404" t="s">
        <v>389</v>
      </c>
      <c r="C16" s="449" t="s">
        <v>390</v>
      </c>
      <c r="D16" s="449">
        <v>3</v>
      </c>
      <c r="E16" s="450" t="s">
        <v>391</v>
      </c>
      <c r="F16" s="451">
        <v>4</v>
      </c>
      <c r="G16" s="452">
        <f>+SQRT(D16*F16)</f>
        <v>3.4641016151377544</v>
      </c>
      <c r="H16" s="497">
        <f>+'QT02BM01Bảng địnhluongLoaiKhí..'!$G$8</f>
        <v>0.95802775897500003</v>
      </c>
      <c r="I16" s="467" t="e">
        <f>+H16/$H$39</f>
        <v>#REF!</v>
      </c>
      <c r="J16" s="468" t="e">
        <f t="shared" ref="J16:J26" si="0">G16*I16</f>
        <v>#REF!</v>
      </c>
      <c r="K16" s="469" t="e">
        <f t="shared" ref="K16:K26" si="1">+J16^2/10^-4</f>
        <v>#REF!</v>
      </c>
    </row>
    <row r="17" spans="1:11" ht="49.5">
      <c r="A17" s="448" t="s">
        <v>18</v>
      </c>
      <c r="B17" s="404" t="s">
        <v>19</v>
      </c>
      <c r="C17" s="449" t="s">
        <v>392</v>
      </c>
      <c r="D17" s="449">
        <v>2</v>
      </c>
      <c r="E17" s="450" t="s">
        <v>391</v>
      </c>
      <c r="F17" s="451">
        <v>4</v>
      </c>
      <c r="G17" s="452">
        <f t="shared" ref="G17:G38" si="2">+SQRT(D17*F17)</f>
        <v>2.8284271247461903</v>
      </c>
      <c r="H17" s="497">
        <f>+'QT02BM01Bảng địnhluongLoaiKhí..'!$G$9</f>
        <v>83.522361069311998</v>
      </c>
      <c r="I17" s="467" t="e">
        <f t="shared" ref="I17:I38" si="3">+H17/$H$39</f>
        <v>#REF!</v>
      </c>
      <c r="J17" s="468" t="e">
        <f t="shared" si="0"/>
        <v>#REF!</v>
      </c>
      <c r="K17" s="469" t="e">
        <f t="shared" si="1"/>
        <v>#REF!</v>
      </c>
    </row>
    <row r="18" spans="1:11" ht="49.5">
      <c r="A18" s="448" t="s">
        <v>20</v>
      </c>
      <c r="B18" s="404" t="s">
        <v>393</v>
      </c>
      <c r="C18" s="449" t="s">
        <v>392</v>
      </c>
      <c r="D18" s="449">
        <v>2</v>
      </c>
      <c r="E18" s="450" t="s">
        <v>391</v>
      </c>
      <c r="F18" s="451">
        <v>4</v>
      </c>
      <c r="G18" s="452">
        <f t="shared" si="2"/>
        <v>2.8284271247461903</v>
      </c>
      <c r="H18" s="497">
        <f>+'QT02BM01Bảng địnhluongLoaiKhí..'!$G$10</f>
        <v>6.2483810083200009</v>
      </c>
      <c r="I18" s="467" t="e">
        <f t="shared" si="3"/>
        <v>#REF!</v>
      </c>
      <c r="J18" s="468" t="e">
        <f t="shared" si="0"/>
        <v>#REF!</v>
      </c>
      <c r="K18" s="469" t="e">
        <f t="shared" si="1"/>
        <v>#REF!</v>
      </c>
    </row>
    <row r="19" spans="1:11" ht="49.5">
      <c r="A19" s="448" t="s">
        <v>25</v>
      </c>
      <c r="B19" s="404" t="s">
        <v>23</v>
      </c>
      <c r="C19" s="449" t="s">
        <v>392</v>
      </c>
      <c r="D19" s="449">
        <v>2</v>
      </c>
      <c r="E19" s="450" t="s">
        <v>394</v>
      </c>
      <c r="F19" s="451">
        <v>1</v>
      </c>
      <c r="G19" s="452">
        <f t="shared" si="2"/>
        <v>1.4142135623730951</v>
      </c>
      <c r="H19" s="497">
        <f>+'QT02BM01Bảng địnhluongLoaiKhí..'!$G$11</f>
        <v>0.27500000000000002</v>
      </c>
      <c r="I19" s="467" t="e">
        <f t="shared" si="3"/>
        <v>#REF!</v>
      </c>
      <c r="J19" s="468" t="e">
        <f t="shared" si="0"/>
        <v>#REF!</v>
      </c>
      <c r="K19" s="469" t="e">
        <f t="shared" si="1"/>
        <v>#REF!</v>
      </c>
    </row>
    <row r="20" spans="1:11" ht="33">
      <c r="A20" s="448" t="s">
        <v>27</v>
      </c>
      <c r="B20" s="404" t="s">
        <v>395</v>
      </c>
      <c r="C20" s="449" t="s">
        <v>390</v>
      </c>
      <c r="D20" s="449">
        <v>3</v>
      </c>
      <c r="E20" s="450" t="s">
        <v>391</v>
      </c>
      <c r="F20" s="451">
        <v>3</v>
      </c>
      <c r="G20" s="452">
        <f t="shared" si="2"/>
        <v>3</v>
      </c>
      <c r="H20" s="497">
        <f>+'QT02BM01Bảng địnhluongLoaiKhí..'!$G$12</f>
        <v>0.3475188873792</v>
      </c>
      <c r="I20" s="467" t="e">
        <f t="shared" si="3"/>
        <v>#REF!</v>
      </c>
      <c r="J20" s="468" t="e">
        <f t="shared" si="0"/>
        <v>#REF!</v>
      </c>
      <c r="K20" s="469" t="e">
        <f t="shared" si="1"/>
        <v>#REF!</v>
      </c>
    </row>
    <row r="21" spans="1:11" ht="49.5">
      <c r="A21" s="448" t="s">
        <v>29</v>
      </c>
      <c r="B21" s="404" t="s">
        <v>28</v>
      </c>
      <c r="C21" s="449" t="s">
        <v>392</v>
      </c>
      <c r="D21" s="449">
        <v>2</v>
      </c>
      <c r="E21" s="450" t="s">
        <v>391</v>
      </c>
      <c r="F21" s="451">
        <v>4</v>
      </c>
      <c r="G21" s="452">
        <f t="shared" si="2"/>
        <v>2.8284271247461903</v>
      </c>
      <c r="H21" s="497">
        <f>+'QT02BM01Bảng địnhluongLoaiKhí..'!$G$13</f>
        <v>512.57315771719504</v>
      </c>
      <c r="I21" s="467" t="e">
        <f t="shared" si="3"/>
        <v>#REF!</v>
      </c>
      <c r="J21" s="468" t="e">
        <f t="shared" si="0"/>
        <v>#REF!</v>
      </c>
      <c r="K21" s="469" t="e">
        <f t="shared" si="1"/>
        <v>#REF!</v>
      </c>
    </row>
    <row r="22" spans="1:11" ht="49.5">
      <c r="A22" s="448" t="s">
        <v>31</v>
      </c>
      <c r="B22" s="404" t="s">
        <v>30</v>
      </c>
      <c r="C22" s="449" t="s">
        <v>392</v>
      </c>
      <c r="D22" s="449">
        <v>2</v>
      </c>
      <c r="E22" s="450" t="s">
        <v>394</v>
      </c>
      <c r="F22" s="451">
        <v>1</v>
      </c>
      <c r="G22" s="452">
        <f t="shared" si="2"/>
        <v>1.4142135623730951</v>
      </c>
      <c r="H22" s="497">
        <f>+'QT02BM01Bảng địnhluongLoaiKhí..'!$G$14</f>
        <v>1.094552</v>
      </c>
      <c r="I22" s="467" t="e">
        <f t="shared" si="3"/>
        <v>#REF!</v>
      </c>
      <c r="J22" s="468" t="e">
        <f t="shared" si="0"/>
        <v>#REF!</v>
      </c>
      <c r="K22" s="469" t="e">
        <f t="shared" si="1"/>
        <v>#REF!</v>
      </c>
    </row>
    <row r="23" spans="1:11" ht="49.5">
      <c r="A23" s="448" t="s">
        <v>33</v>
      </c>
      <c r="B23" s="404" t="s">
        <v>396</v>
      </c>
      <c r="C23" s="449" t="s">
        <v>392</v>
      </c>
      <c r="D23" s="449">
        <v>2</v>
      </c>
      <c r="E23" s="450" t="s">
        <v>394</v>
      </c>
      <c r="F23" s="451">
        <v>1</v>
      </c>
      <c r="G23" s="452">
        <f t="shared" si="2"/>
        <v>1.4142135623730951</v>
      </c>
      <c r="H23" s="497">
        <f>+'QT02BM01Bảng địnhluongLoaiKhí..'!$G$15</f>
        <v>9.9407864999999997</v>
      </c>
      <c r="I23" s="467" t="e">
        <f t="shared" si="3"/>
        <v>#REF!</v>
      </c>
      <c r="J23" s="468" t="e">
        <f t="shared" si="0"/>
        <v>#REF!</v>
      </c>
      <c r="K23" s="469" t="e">
        <f t="shared" si="1"/>
        <v>#REF!</v>
      </c>
    </row>
    <row r="24" spans="1:11" ht="49.5">
      <c r="A24" s="448" t="s">
        <v>35</v>
      </c>
      <c r="B24" s="404" t="s">
        <v>34</v>
      </c>
      <c r="C24" s="449" t="s">
        <v>392</v>
      </c>
      <c r="D24" s="449">
        <v>2</v>
      </c>
      <c r="E24" s="450" t="s">
        <v>394</v>
      </c>
      <c r="F24" s="451">
        <v>1</v>
      </c>
      <c r="G24" s="452">
        <f t="shared" si="2"/>
        <v>1.4142135623730951</v>
      </c>
      <c r="H24" s="497" t="e">
        <f>+'QT02BM01Bảng địnhluongLoaiKhí..'!$G$16</f>
        <v>#REF!</v>
      </c>
      <c r="I24" s="467" t="e">
        <f t="shared" si="3"/>
        <v>#REF!</v>
      </c>
      <c r="J24" s="468" t="e">
        <f t="shared" si="0"/>
        <v>#REF!</v>
      </c>
      <c r="K24" s="469" t="e">
        <f t="shared" si="1"/>
        <v>#REF!</v>
      </c>
    </row>
    <row r="25" spans="1:11" ht="49.5">
      <c r="A25" s="448" t="s">
        <v>37</v>
      </c>
      <c r="B25" s="404" t="s">
        <v>36</v>
      </c>
      <c r="C25" s="449" t="s">
        <v>392</v>
      </c>
      <c r="D25" s="449">
        <v>2</v>
      </c>
      <c r="E25" s="450" t="s">
        <v>394</v>
      </c>
      <c r="F25" s="451">
        <v>1</v>
      </c>
      <c r="G25" s="452">
        <f t="shared" si="2"/>
        <v>1.4142135623730951</v>
      </c>
      <c r="H25" s="497">
        <f>+'QT02BM01Bảng địnhluongLoaiKhí..'!$G$17</f>
        <v>59.016019392000004</v>
      </c>
      <c r="I25" s="467" t="e">
        <f t="shared" si="3"/>
        <v>#REF!</v>
      </c>
      <c r="J25" s="468" t="e">
        <f t="shared" si="0"/>
        <v>#REF!</v>
      </c>
      <c r="K25" s="469" t="e">
        <f t="shared" si="1"/>
        <v>#REF!</v>
      </c>
    </row>
    <row r="26" spans="1:11" ht="49.5">
      <c r="A26" s="448" t="s">
        <v>37</v>
      </c>
      <c r="B26" s="404" t="s">
        <v>397</v>
      </c>
      <c r="C26" s="449" t="s">
        <v>392</v>
      </c>
      <c r="D26" s="449">
        <v>2</v>
      </c>
      <c r="E26" s="450" t="s">
        <v>394</v>
      </c>
      <c r="F26" s="451">
        <v>1</v>
      </c>
      <c r="G26" s="452">
        <f t="shared" si="2"/>
        <v>1.4142135623730951</v>
      </c>
      <c r="H26" s="497">
        <f>+'QT02BM01Bảng địnhluongLoaiKhí..'!$G$18</f>
        <v>118.25098300000001</v>
      </c>
      <c r="I26" s="467" t="e">
        <f t="shared" si="3"/>
        <v>#REF!</v>
      </c>
      <c r="J26" s="468" t="e">
        <f t="shared" si="0"/>
        <v>#REF!</v>
      </c>
      <c r="K26" s="469" t="e">
        <f t="shared" si="1"/>
        <v>#REF!</v>
      </c>
    </row>
    <row r="27" spans="1:11" ht="33" customHeight="1">
      <c r="A27" s="444">
        <v>1.2</v>
      </c>
      <c r="B27" s="454" t="s">
        <v>40</v>
      </c>
      <c r="C27" s="446"/>
      <c r="D27" s="446"/>
      <c r="E27" s="446"/>
      <c r="F27" s="446"/>
      <c r="G27" s="446"/>
      <c r="H27" s="496"/>
      <c r="I27" s="446"/>
      <c r="J27" s="446"/>
      <c r="K27" s="461"/>
    </row>
    <row r="28" spans="1:11" ht="49.5">
      <c r="A28" s="448" t="s">
        <v>41</v>
      </c>
      <c r="B28" s="404" t="s">
        <v>398</v>
      </c>
      <c r="C28" s="449" t="s">
        <v>392</v>
      </c>
      <c r="D28" s="449">
        <v>2</v>
      </c>
      <c r="E28" s="450" t="s">
        <v>391</v>
      </c>
      <c r="F28" s="451">
        <v>4</v>
      </c>
      <c r="G28" s="452">
        <f t="shared" si="2"/>
        <v>2.8284271247461903</v>
      </c>
      <c r="H28" s="498">
        <f>+'QT02BM01Bảng địnhluongLoaiKhí..'!$G$20</f>
        <v>45.515835509142605</v>
      </c>
      <c r="I28" s="467" t="e">
        <f t="shared" si="3"/>
        <v>#REF!</v>
      </c>
      <c r="J28" s="468" t="e">
        <f>G28*I28</f>
        <v>#REF!</v>
      </c>
      <c r="K28" s="469" t="e">
        <f>+J28^2/10^-4</f>
        <v>#REF!</v>
      </c>
    </row>
    <row r="29" spans="1:11" ht="49.5">
      <c r="A29" s="448" t="s">
        <v>43</v>
      </c>
      <c r="B29" s="404" t="s">
        <v>26</v>
      </c>
      <c r="C29" s="449" t="s">
        <v>392</v>
      </c>
      <c r="D29" s="449">
        <v>2</v>
      </c>
      <c r="E29" s="450" t="s">
        <v>391</v>
      </c>
      <c r="F29" s="451">
        <v>4</v>
      </c>
      <c r="G29" s="452">
        <f t="shared" si="2"/>
        <v>2.8284271247461903</v>
      </c>
      <c r="H29" s="497"/>
      <c r="I29" s="467" t="e">
        <f t="shared" si="3"/>
        <v>#REF!</v>
      </c>
      <c r="J29" s="468" t="e">
        <f>G29*I29</f>
        <v>#REF!</v>
      </c>
      <c r="K29" s="469" t="e">
        <f>+J29^2/10^-4</f>
        <v>#REF!</v>
      </c>
    </row>
    <row r="30" spans="1:11" ht="33.75" customHeight="1">
      <c r="A30" s="444">
        <v>1.3</v>
      </c>
      <c r="B30" s="454" t="s">
        <v>399</v>
      </c>
      <c r="C30" s="446"/>
      <c r="D30" s="446"/>
      <c r="E30" s="446"/>
      <c r="F30" s="446"/>
      <c r="G30" s="446"/>
      <c r="H30" s="496"/>
      <c r="I30" s="446"/>
      <c r="J30" s="446"/>
      <c r="K30" s="461"/>
    </row>
    <row r="31" spans="1:11" ht="49.5">
      <c r="A31" s="448" t="s">
        <v>46</v>
      </c>
      <c r="B31" s="404" t="s">
        <v>400</v>
      </c>
      <c r="C31" s="449" t="s">
        <v>392</v>
      </c>
      <c r="D31" s="449">
        <v>2</v>
      </c>
      <c r="E31" s="450" t="s">
        <v>391</v>
      </c>
      <c r="F31" s="451">
        <v>4</v>
      </c>
      <c r="G31" s="452">
        <f t="shared" si="2"/>
        <v>2.8284271247461903</v>
      </c>
      <c r="H31" s="498" t="e">
        <f>+'QT02BM01Bảng địnhluongLoaiKhí..'!$G$23</f>
        <v>#REF!</v>
      </c>
      <c r="I31" s="467" t="e">
        <f t="shared" si="3"/>
        <v>#REF!</v>
      </c>
      <c r="J31" s="468" t="e">
        <f t="shared" ref="J31:J36" si="4">G31*I31</f>
        <v>#REF!</v>
      </c>
      <c r="K31" s="469" t="e">
        <f t="shared" ref="K31:K36" si="5">+J31^2/10^-4</f>
        <v>#REF!</v>
      </c>
    </row>
    <row r="32" spans="1:11" ht="49.5">
      <c r="A32" s="448" t="s">
        <v>47</v>
      </c>
      <c r="B32" s="404" t="s">
        <v>401</v>
      </c>
      <c r="C32" s="449" t="s">
        <v>392</v>
      </c>
      <c r="D32" s="449">
        <v>2</v>
      </c>
      <c r="E32" s="450" t="s">
        <v>391</v>
      </c>
      <c r="F32" s="451">
        <v>4</v>
      </c>
      <c r="G32" s="452">
        <f t="shared" si="2"/>
        <v>2.8284271247461903</v>
      </c>
      <c r="H32" s="497">
        <f>+'QT02BM01Bảng địnhluongLoaiKhí..'!$G$24</f>
        <v>11.86119048449418</v>
      </c>
      <c r="I32" s="467" t="e">
        <f t="shared" si="3"/>
        <v>#REF!</v>
      </c>
      <c r="J32" s="468" t="e">
        <f t="shared" si="4"/>
        <v>#REF!</v>
      </c>
      <c r="K32" s="469" t="e">
        <f t="shared" si="5"/>
        <v>#REF!</v>
      </c>
    </row>
    <row r="33" spans="1:11" ht="33">
      <c r="A33" s="448">
        <v>1.4</v>
      </c>
      <c r="B33" s="404" t="s">
        <v>402</v>
      </c>
      <c r="C33" s="449" t="s">
        <v>390</v>
      </c>
      <c r="D33" s="449">
        <v>3</v>
      </c>
      <c r="E33" s="450" t="s">
        <v>403</v>
      </c>
      <c r="F33" s="451">
        <v>3</v>
      </c>
      <c r="G33" s="452">
        <f t="shared" si="2"/>
        <v>3</v>
      </c>
      <c r="H33" s="499">
        <f>+'QT02BM01Bảng địnhluongLoaiKhí..'!$G$25</f>
        <v>7.3999999999999995E-3</v>
      </c>
      <c r="I33" s="467" t="e">
        <f t="shared" si="3"/>
        <v>#REF!</v>
      </c>
      <c r="J33" s="468" t="e">
        <f t="shared" si="4"/>
        <v>#REF!</v>
      </c>
      <c r="K33" s="469" t="e">
        <f t="shared" si="5"/>
        <v>#REF!</v>
      </c>
    </row>
    <row r="34" spans="1:11" ht="33">
      <c r="A34" s="448">
        <v>1.5</v>
      </c>
      <c r="B34" s="404" t="s">
        <v>52</v>
      </c>
      <c r="C34" s="449" t="s">
        <v>390</v>
      </c>
      <c r="D34" s="449">
        <v>3</v>
      </c>
      <c r="E34" s="450" t="s">
        <v>404</v>
      </c>
      <c r="F34" s="451">
        <v>4</v>
      </c>
      <c r="G34" s="452">
        <f t="shared" si="2"/>
        <v>3.4641016151377544</v>
      </c>
      <c r="H34" s="497">
        <f>+'QT02BM01Bảng địnhluongLoaiKhí..'!$G$26</f>
        <v>12.593820000000001</v>
      </c>
      <c r="I34" s="467" t="e">
        <f t="shared" si="3"/>
        <v>#REF!</v>
      </c>
      <c r="J34" s="468" t="e">
        <f t="shared" si="4"/>
        <v>#REF!</v>
      </c>
      <c r="K34" s="469" t="e">
        <f t="shared" si="5"/>
        <v>#REF!</v>
      </c>
    </row>
    <row r="35" spans="1:11" ht="49.5">
      <c r="A35" s="448">
        <v>1.6</v>
      </c>
      <c r="B35" s="404" t="s">
        <v>55</v>
      </c>
      <c r="C35" s="449" t="s">
        <v>392</v>
      </c>
      <c r="D35" s="449">
        <v>2</v>
      </c>
      <c r="E35" s="450" t="s">
        <v>405</v>
      </c>
      <c r="F35" s="451">
        <v>4</v>
      </c>
      <c r="G35" s="452">
        <f t="shared" si="2"/>
        <v>2.8284271247461903</v>
      </c>
      <c r="H35" s="497">
        <f>+'QT02BM01Bảng địnhluongLoaiKhí..'!$G$27</f>
        <v>26.604560521857039</v>
      </c>
      <c r="I35" s="467" t="e">
        <f t="shared" si="3"/>
        <v>#REF!</v>
      </c>
      <c r="J35" s="468" t="e">
        <f t="shared" si="4"/>
        <v>#REF!</v>
      </c>
      <c r="K35" s="469" t="e">
        <f t="shared" si="5"/>
        <v>#REF!</v>
      </c>
    </row>
    <row r="36" spans="1:11" ht="37.5">
      <c r="A36" s="570" t="s">
        <v>56</v>
      </c>
      <c r="B36" s="404" t="s">
        <v>57</v>
      </c>
      <c r="C36" s="449" t="s">
        <v>406</v>
      </c>
      <c r="D36" s="449">
        <v>3</v>
      </c>
      <c r="E36" s="450" t="s">
        <v>405</v>
      </c>
      <c r="F36" s="451">
        <v>6</v>
      </c>
      <c r="G36" s="452">
        <f t="shared" si="2"/>
        <v>4.2426406871192848</v>
      </c>
      <c r="H36" s="497">
        <f>+'QT02BM01Bảng địnhluongLoaiKhí..'!$G$28</f>
        <v>5.5769999999999952E-2</v>
      </c>
      <c r="I36" s="467" t="e">
        <f t="shared" si="3"/>
        <v>#REF!</v>
      </c>
      <c r="J36" s="468" t="e">
        <f t="shared" si="4"/>
        <v>#REF!</v>
      </c>
      <c r="K36" s="469" t="e">
        <f t="shared" si="5"/>
        <v>#REF!</v>
      </c>
    </row>
    <row r="37" spans="1:11" ht="27.75" customHeight="1">
      <c r="A37" s="569" t="s">
        <v>61</v>
      </c>
      <c r="B37" s="454" t="s">
        <v>62</v>
      </c>
      <c r="C37" s="446"/>
      <c r="D37" s="446"/>
      <c r="E37" s="446"/>
      <c r="F37" s="446"/>
      <c r="G37" s="446"/>
      <c r="H37" s="496"/>
      <c r="I37" s="446"/>
      <c r="J37" s="446"/>
      <c r="K37" s="461"/>
    </row>
    <row r="38" spans="1:11" ht="49.5">
      <c r="A38" s="448">
        <v>2.1</v>
      </c>
      <c r="B38" s="404" t="s">
        <v>407</v>
      </c>
      <c r="C38" s="449" t="s">
        <v>408</v>
      </c>
      <c r="D38" s="449">
        <v>1</v>
      </c>
      <c r="E38" s="450" t="s">
        <v>409</v>
      </c>
      <c r="F38" s="451">
        <v>3</v>
      </c>
      <c r="G38" s="452">
        <f t="shared" si="2"/>
        <v>1.7320508075688772</v>
      </c>
      <c r="H38" s="497">
        <f>+'QT02BM01Bảng địnhluongLoaiKhí..'!$G$30</f>
        <v>15779.499516184856</v>
      </c>
      <c r="I38" s="467" t="e">
        <f t="shared" si="3"/>
        <v>#REF!</v>
      </c>
      <c r="J38" s="468" t="e">
        <f>G38*I38</f>
        <v>#REF!</v>
      </c>
      <c r="K38" s="469" t="e">
        <f>+J38^2/10^-4</f>
        <v>#REF!</v>
      </c>
    </row>
    <row r="39" spans="1:11" ht="17.25">
      <c r="A39" s="778" t="s">
        <v>410</v>
      </c>
      <c r="B39" s="779"/>
      <c r="C39" s="779"/>
      <c r="D39" s="779"/>
      <c r="E39" s="779"/>
      <c r="F39" s="779"/>
      <c r="G39" s="779"/>
      <c r="H39" s="500" t="e">
        <f>+SUM(H16:H38)</f>
        <v>#REF!</v>
      </c>
      <c r="I39" s="470" t="e">
        <f>+SUM(I16:I38)</f>
        <v>#REF!</v>
      </c>
      <c r="J39" s="465"/>
      <c r="K39" s="466"/>
    </row>
    <row r="40" spans="1:11" ht="20.25">
      <c r="A40" s="765" t="s">
        <v>411</v>
      </c>
      <c r="B40" s="766"/>
      <c r="C40" s="766"/>
      <c r="D40" s="766"/>
      <c r="E40" s="766"/>
      <c r="F40" s="766"/>
      <c r="G40" s="766"/>
      <c r="H40" s="766"/>
      <c r="I40" s="766"/>
      <c r="J40" s="767"/>
      <c r="K40" s="462" t="e">
        <f>10^-2*SQRT(SUM(K16:K38))</f>
        <v>#REF!</v>
      </c>
    </row>
    <row r="41" spans="1:11" ht="20.25">
      <c r="A41" s="768" t="s">
        <v>412</v>
      </c>
      <c r="B41" s="769"/>
      <c r="C41" s="769"/>
      <c r="D41" s="769"/>
      <c r="E41" s="769"/>
      <c r="F41" s="769"/>
      <c r="G41" s="769"/>
      <c r="H41" s="769"/>
      <c r="I41" s="769"/>
      <c r="J41" s="770"/>
      <c r="K41" s="463" t="e">
        <f>IF(K40&gt;4,"Level E",IF(K40&gt;3,"Level D",IF(K40&gt;2,"Level C",IF(K40&gt;1,"Level B","Level A"))))</f>
        <v>#REF!</v>
      </c>
    </row>
    <row r="43" spans="1:11" ht="17.25">
      <c r="A43" s="422"/>
      <c r="E43" s="457" t="s">
        <v>413</v>
      </c>
      <c r="F43" s="457" t="s">
        <v>414</v>
      </c>
      <c r="G43" s="771" t="s">
        <v>415</v>
      </c>
      <c r="H43" s="772"/>
      <c r="I43" s="434"/>
      <c r="J43" s="434"/>
      <c r="K43" s="422"/>
    </row>
    <row r="44" spans="1:11" ht="16.5">
      <c r="A44" s="422"/>
      <c r="E44" s="458" t="s">
        <v>416</v>
      </c>
      <c r="F44" s="458" t="s">
        <v>417</v>
      </c>
      <c r="G44" s="742" t="s">
        <v>418</v>
      </c>
      <c r="H44" s="743"/>
      <c r="I44" s="434"/>
      <c r="J44" s="434"/>
      <c r="K44" s="422"/>
    </row>
    <row r="45" spans="1:11" ht="16.5">
      <c r="A45" s="422"/>
      <c r="E45" s="458" t="s">
        <v>419</v>
      </c>
      <c r="F45" s="458" t="s">
        <v>420</v>
      </c>
      <c r="G45" s="742" t="s">
        <v>421</v>
      </c>
      <c r="H45" s="743"/>
      <c r="I45" s="434"/>
      <c r="J45" s="434"/>
      <c r="K45" s="422"/>
    </row>
    <row r="46" spans="1:11" ht="16.5">
      <c r="A46" s="422"/>
      <c r="E46" s="458" t="s">
        <v>422</v>
      </c>
      <c r="F46" s="458" t="s">
        <v>423</v>
      </c>
      <c r="G46" s="742" t="s">
        <v>424</v>
      </c>
      <c r="H46" s="743"/>
      <c r="I46" s="434"/>
      <c r="J46" s="434"/>
      <c r="K46" s="422"/>
    </row>
    <row r="47" spans="1:11" ht="16.5">
      <c r="A47" s="422"/>
      <c r="E47" s="458" t="s">
        <v>425</v>
      </c>
      <c r="F47" s="458" t="s">
        <v>426</v>
      </c>
      <c r="G47" s="742" t="s">
        <v>427</v>
      </c>
      <c r="H47" s="743"/>
      <c r="I47" s="434"/>
      <c r="J47" s="434"/>
      <c r="K47" s="422"/>
    </row>
    <row r="48" spans="1:11" ht="16.5">
      <c r="A48" s="422"/>
      <c r="E48" s="458" t="s">
        <v>428</v>
      </c>
      <c r="F48" s="458" t="s">
        <v>429</v>
      </c>
      <c r="G48" s="754" t="s">
        <v>430</v>
      </c>
      <c r="H48" s="755"/>
      <c r="I48" s="434"/>
      <c r="J48" s="434"/>
      <c r="K48" s="422"/>
    </row>
  </sheetData>
  <mergeCells count="31">
    <mergeCell ref="G48:H48"/>
    <mergeCell ref="A1:A2"/>
    <mergeCell ref="C7:C8"/>
    <mergeCell ref="C10:C11"/>
    <mergeCell ref="B1:H2"/>
    <mergeCell ref="A40:J40"/>
    <mergeCell ref="A41:J41"/>
    <mergeCell ref="G43:H43"/>
    <mergeCell ref="G44:H44"/>
    <mergeCell ref="G45:H45"/>
    <mergeCell ref="F10:I10"/>
    <mergeCell ref="D11:E11"/>
    <mergeCell ref="F11:I11"/>
    <mergeCell ref="A12:K12"/>
    <mergeCell ref="A39:G39"/>
    <mergeCell ref="A6:B6"/>
    <mergeCell ref="I1:K2"/>
    <mergeCell ref="A7:B8"/>
    <mergeCell ref="A10:B11"/>
    <mergeCell ref="G46:H46"/>
    <mergeCell ref="G47:H47"/>
    <mergeCell ref="F6:I6"/>
    <mergeCell ref="F7:I7"/>
    <mergeCell ref="F8:I8"/>
    <mergeCell ref="A9:B9"/>
    <mergeCell ref="F9:I9"/>
    <mergeCell ref="A3:J3"/>
    <mergeCell ref="A4:C4"/>
    <mergeCell ref="F4:J4"/>
    <mergeCell ref="A5:B5"/>
    <mergeCell ref="F5:I5"/>
  </mergeCells>
  <pageMargins left="0.22" right="0.12" top="0.08" bottom="0.09" header="0.04" footer="0.04"/>
  <pageSetup paperSize="9" scale="59"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47"/>
  <sheetViews>
    <sheetView topLeftCell="A33" zoomScale="70" zoomScaleNormal="70" workbookViewId="0">
      <selection activeCell="B41" sqref="B41"/>
    </sheetView>
  </sheetViews>
  <sheetFormatPr defaultColWidth="8.85546875" defaultRowHeight="15"/>
  <cols>
    <col min="1" max="1" width="30.28515625" style="436" customWidth="1"/>
    <col min="2" max="2" width="46.28515625" style="436" customWidth="1"/>
    <col min="3" max="3" width="22.42578125" style="436" customWidth="1"/>
    <col min="4" max="4" width="8.28515625" style="436" customWidth="1"/>
    <col min="5" max="5" width="28.28515625" style="436" customWidth="1"/>
    <col min="6" max="6" width="20" style="472" customWidth="1"/>
    <col min="7" max="7" width="17" style="472" customWidth="1"/>
    <col min="8" max="8" width="15.85546875" style="473" customWidth="1"/>
    <col min="9" max="9" width="18.85546875" style="472" customWidth="1"/>
    <col min="10" max="10" width="16.7109375" style="472" customWidth="1"/>
    <col min="11" max="11" width="18.42578125" style="436" customWidth="1"/>
    <col min="12" max="12" width="15.5703125" style="436" customWidth="1"/>
    <col min="13" max="13" width="52.5703125" style="436" customWidth="1"/>
    <col min="14" max="16384" width="8.85546875" style="436"/>
  </cols>
  <sheetData>
    <row r="1" spans="1:13" s="471" customFormat="1" ht="45" customHeight="1">
      <c r="A1" s="783"/>
      <c r="B1" s="660" t="s">
        <v>431</v>
      </c>
      <c r="C1" s="660"/>
      <c r="D1" s="660"/>
      <c r="E1" s="660"/>
      <c r="F1" s="660"/>
      <c r="G1" s="660"/>
      <c r="H1" s="660"/>
      <c r="I1" s="780" t="s">
        <v>1108</v>
      </c>
      <c r="J1" s="780"/>
      <c r="K1" s="780"/>
      <c r="L1" s="486"/>
    </row>
    <row r="2" spans="1:13" s="471" customFormat="1" ht="39" customHeight="1">
      <c r="A2" s="783"/>
      <c r="B2" s="660"/>
      <c r="C2" s="660"/>
      <c r="D2" s="660"/>
      <c r="E2" s="660"/>
      <c r="F2" s="660"/>
      <c r="G2" s="660"/>
      <c r="H2" s="660"/>
      <c r="I2" s="780"/>
      <c r="J2" s="780"/>
      <c r="K2" s="780"/>
      <c r="L2" s="486"/>
    </row>
    <row r="3" spans="1:13" ht="21" hidden="1">
      <c r="A3" s="794"/>
      <c r="B3" s="794"/>
      <c r="C3" s="794"/>
      <c r="D3" s="794"/>
      <c r="E3" s="794"/>
      <c r="F3" s="794"/>
      <c r="G3" s="794"/>
      <c r="H3" s="794"/>
      <c r="I3" s="794"/>
      <c r="J3" s="794"/>
      <c r="K3" s="487"/>
    </row>
    <row r="4" spans="1:13" ht="20.25" hidden="1">
      <c r="A4" s="795" t="s">
        <v>363</v>
      </c>
      <c r="B4" s="795"/>
      <c r="C4" s="795"/>
      <c r="D4" s="475"/>
      <c r="E4" s="475"/>
      <c r="F4" s="795" t="s">
        <v>364</v>
      </c>
      <c r="G4" s="795"/>
      <c r="H4" s="795"/>
      <c r="I4" s="795"/>
      <c r="J4" s="795"/>
      <c r="K4" s="487"/>
    </row>
    <row r="5" spans="1:13" ht="40.5" hidden="1">
      <c r="A5" s="795" t="s">
        <v>365</v>
      </c>
      <c r="B5" s="795"/>
      <c r="C5" s="474" t="s">
        <v>366</v>
      </c>
      <c r="D5" s="475"/>
      <c r="E5" s="475"/>
      <c r="F5" s="795" t="s">
        <v>365</v>
      </c>
      <c r="G5" s="795"/>
      <c r="H5" s="795"/>
      <c r="I5" s="795"/>
      <c r="J5" s="474" t="s">
        <v>366</v>
      </c>
      <c r="K5" s="487"/>
    </row>
    <row r="6" spans="1:13" ht="105.75" hidden="1" customHeight="1">
      <c r="A6" s="785" t="s">
        <v>367</v>
      </c>
      <c r="B6" s="785"/>
      <c r="C6" s="476">
        <v>1</v>
      </c>
      <c r="D6" s="475"/>
      <c r="E6" s="475"/>
      <c r="F6" s="785" t="s">
        <v>368</v>
      </c>
      <c r="G6" s="785"/>
      <c r="H6" s="785"/>
      <c r="I6" s="785"/>
      <c r="J6" s="476">
        <v>1</v>
      </c>
      <c r="K6" s="487"/>
    </row>
    <row r="7" spans="1:13" ht="101.25" hidden="1" customHeight="1">
      <c r="A7" s="785" t="s">
        <v>369</v>
      </c>
      <c r="B7" s="785"/>
      <c r="C7" s="784">
        <v>2</v>
      </c>
      <c r="D7" s="475"/>
      <c r="E7" s="475"/>
      <c r="F7" s="785" t="s">
        <v>370</v>
      </c>
      <c r="G7" s="785"/>
      <c r="H7" s="785"/>
      <c r="I7" s="785"/>
      <c r="J7" s="476">
        <v>2</v>
      </c>
      <c r="K7" s="487"/>
    </row>
    <row r="8" spans="1:13" ht="91.5" hidden="1" customHeight="1">
      <c r="A8" s="785"/>
      <c r="B8" s="785"/>
      <c r="C8" s="784"/>
      <c r="D8" s="475"/>
      <c r="E8" s="475"/>
      <c r="F8" s="785" t="s">
        <v>371</v>
      </c>
      <c r="G8" s="785"/>
      <c r="H8" s="785"/>
      <c r="I8" s="785"/>
      <c r="J8" s="476">
        <v>3</v>
      </c>
      <c r="K8" s="487"/>
    </row>
    <row r="9" spans="1:13" ht="58.5" hidden="1" customHeight="1">
      <c r="A9" s="785" t="s">
        <v>372</v>
      </c>
      <c r="B9" s="785"/>
      <c r="C9" s="476">
        <v>3</v>
      </c>
      <c r="D9" s="475"/>
      <c r="E9" s="475"/>
      <c r="F9" s="785" t="s">
        <v>373</v>
      </c>
      <c r="G9" s="785"/>
      <c r="H9" s="785"/>
      <c r="I9" s="785"/>
      <c r="J9" s="476">
        <v>4</v>
      </c>
      <c r="K9" s="487"/>
    </row>
    <row r="10" spans="1:13" ht="45" hidden="1" customHeight="1">
      <c r="A10" s="785" t="s">
        <v>374</v>
      </c>
      <c r="B10" s="785"/>
      <c r="C10" s="784">
        <v>4</v>
      </c>
      <c r="D10" s="475"/>
      <c r="E10" s="475"/>
      <c r="F10" s="785" t="s">
        <v>375</v>
      </c>
      <c r="G10" s="785"/>
      <c r="H10" s="785"/>
      <c r="I10" s="785"/>
      <c r="J10" s="476">
        <v>5</v>
      </c>
      <c r="K10" s="487"/>
    </row>
    <row r="11" spans="1:13" ht="25.5" hidden="1" customHeight="1">
      <c r="A11" s="785"/>
      <c r="B11" s="785"/>
      <c r="C11" s="784"/>
      <c r="D11" s="791"/>
      <c r="E11" s="791"/>
      <c r="F11" s="785" t="s">
        <v>376</v>
      </c>
      <c r="G11" s="785"/>
      <c r="H11" s="785"/>
      <c r="I11" s="785"/>
      <c r="J11" s="476">
        <v>6</v>
      </c>
      <c r="K11" s="487"/>
    </row>
    <row r="12" spans="1:13">
      <c r="A12" s="792"/>
      <c r="B12" s="792"/>
      <c r="C12" s="792"/>
      <c r="D12" s="792"/>
      <c r="E12" s="792"/>
      <c r="F12" s="792"/>
      <c r="G12" s="792"/>
      <c r="H12" s="792"/>
      <c r="I12" s="792"/>
      <c r="J12" s="792"/>
      <c r="K12" s="792"/>
    </row>
    <row r="13" spans="1:13" ht="86.25">
      <c r="A13" s="412" t="s">
        <v>377</v>
      </c>
      <c r="B13" s="412" t="s">
        <v>378</v>
      </c>
      <c r="C13" s="412" t="s">
        <v>379</v>
      </c>
      <c r="D13" s="412" t="s">
        <v>380</v>
      </c>
      <c r="E13" s="412" t="s">
        <v>381</v>
      </c>
      <c r="F13" s="412" t="s">
        <v>382</v>
      </c>
      <c r="G13" s="412" t="s">
        <v>383</v>
      </c>
      <c r="H13" s="477" t="s">
        <v>384</v>
      </c>
      <c r="I13" s="412" t="s">
        <v>385</v>
      </c>
      <c r="J13" s="412" t="s">
        <v>386</v>
      </c>
      <c r="K13" s="488" t="s">
        <v>432</v>
      </c>
      <c r="M13" s="489" t="s">
        <v>433</v>
      </c>
    </row>
    <row r="14" spans="1:13" ht="28.5" customHeight="1">
      <c r="A14" s="571" t="s">
        <v>9</v>
      </c>
      <c r="B14" s="478" t="s">
        <v>388</v>
      </c>
      <c r="C14" s="478"/>
      <c r="D14" s="478"/>
      <c r="E14" s="478"/>
      <c r="F14" s="478"/>
      <c r="G14" s="478"/>
      <c r="H14" s="479"/>
      <c r="I14" s="478"/>
      <c r="J14" s="478"/>
      <c r="K14" s="478"/>
    </row>
    <row r="15" spans="1:13" ht="28.5" customHeight="1">
      <c r="A15" s="571" t="s">
        <v>11</v>
      </c>
      <c r="B15" s="478" t="s">
        <v>12</v>
      </c>
      <c r="C15" s="478"/>
      <c r="D15" s="478"/>
      <c r="E15" s="478"/>
      <c r="F15" s="478"/>
      <c r="G15" s="478"/>
      <c r="H15" s="479"/>
      <c r="I15" s="478"/>
      <c r="J15" s="478"/>
      <c r="K15" s="478"/>
    </row>
    <row r="16" spans="1:13" ht="33">
      <c r="A16" s="413" t="s">
        <v>13</v>
      </c>
      <c r="B16" s="414" t="s">
        <v>450</v>
      </c>
      <c r="C16" s="413" t="s">
        <v>390</v>
      </c>
      <c r="D16" s="413">
        <v>3</v>
      </c>
      <c r="E16" s="413" t="s">
        <v>391</v>
      </c>
      <c r="F16" s="419">
        <v>4</v>
      </c>
      <c r="G16" s="420">
        <f>+SQRT(D16*F16)</f>
        <v>3.4641016151377544</v>
      </c>
      <c r="H16" s="480">
        <f>+'QT02BM01Bảng địnhluongLoaiKhí..'!$G$8</f>
        <v>0.95802775897500003</v>
      </c>
      <c r="I16" s="429">
        <f>+H16/$H$38</f>
        <v>5.6668696862291078E-5</v>
      </c>
      <c r="J16" s="428">
        <f>G16*I16</f>
        <v>1.963061243284143E-4</v>
      </c>
      <c r="K16" s="430">
        <f>+J16^2/10^-4</f>
        <v>3.8536094448842856E-4</v>
      </c>
    </row>
    <row r="17" spans="1:11" ht="49.5">
      <c r="A17" s="413" t="s">
        <v>18</v>
      </c>
      <c r="B17" s="414" t="s">
        <v>19</v>
      </c>
      <c r="C17" s="413" t="s">
        <v>392</v>
      </c>
      <c r="D17" s="413">
        <v>2</v>
      </c>
      <c r="E17" s="413" t="s">
        <v>391</v>
      </c>
      <c r="F17" s="419">
        <v>4</v>
      </c>
      <c r="G17" s="420">
        <f t="shared" ref="G17:G37" si="0">+SQRT(D17*F17)</f>
        <v>2.8284271247461903</v>
      </c>
      <c r="H17" s="480">
        <f>+'QT02BM01Bảng địnhluongLoaiKhí..'!$G$9</f>
        <v>83.522361069311998</v>
      </c>
      <c r="I17" s="429">
        <f t="shared" ref="I17:I25" si="1">+H17/$H$38</f>
        <v>4.9404657812041281E-3</v>
      </c>
      <c r="J17" s="428">
        <f t="shared" ref="J17:J25" si="2">G17*I17</f>
        <v>1.3973747424438132E-2</v>
      </c>
      <c r="K17" s="430">
        <f t="shared" ref="K17:K25" si="3">+J17^2/10^-4</f>
        <v>1.9526561708199131</v>
      </c>
    </row>
    <row r="18" spans="1:11" ht="49.5">
      <c r="A18" s="413" t="s">
        <v>20</v>
      </c>
      <c r="B18" s="414" t="s">
        <v>21</v>
      </c>
      <c r="C18" s="413" t="s">
        <v>392</v>
      </c>
      <c r="D18" s="413">
        <v>2</v>
      </c>
      <c r="E18" s="413" t="s">
        <v>391</v>
      </c>
      <c r="F18" s="419">
        <v>4</v>
      </c>
      <c r="G18" s="420">
        <f t="shared" si="0"/>
        <v>2.8284271247461903</v>
      </c>
      <c r="H18" s="480">
        <f>+'QT02BM01Bảng địnhluongLoaiKhí..'!$G$10</f>
        <v>6.2483810083200009</v>
      </c>
      <c r="I18" s="429">
        <f t="shared" si="1"/>
        <v>3.6960057359864329E-4</v>
      </c>
      <c r="J18" s="428">
        <f t="shared" si="2"/>
        <v>1.0453882876881534E-3</v>
      </c>
      <c r="K18" s="430">
        <f t="shared" si="3"/>
        <v>1.0928366720355694E-2</v>
      </c>
    </row>
    <row r="19" spans="1:11" ht="49.5">
      <c r="A19" s="413" t="s">
        <v>22</v>
      </c>
      <c r="B19" s="414" t="s">
        <v>23</v>
      </c>
      <c r="C19" s="413" t="s">
        <v>392</v>
      </c>
      <c r="D19" s="413">
        <v>2</v>
      </c>
      <c r="E19" s="413" t="s">
        <v>394</v>
      </c>
      <c r="F19" s="419">
        <v>1</v>
      </c>
      <c r="G19" s="420">
        <f t="shared" si="0"/>
        <v>1.4142135623730951</v>
      </c>
      <c r="H19" s="480">
        <f>+'QT02BM01Bảng địnhluongLoaiKhí..'!$G$11</f>
        <v>0.27500000000000002</v>
      </c>
      <c r="I19" s="429">
        <f t="shared" si="1"/>
        <v>1.6266638926833763E-5</v>
      </c>
      <c r="J19" s="428">
        <f t="shared" si="2"/>
        <v>2.3004501384554438E-5</v>
      </c>
      <c r="K19" s="430">
        <f t="shared" si="3"/>
        <v>5.2920708395196703E-6</v>
      </c>
    </row>
    <row r="20" spans="1:11" ht="33">
      <c r="A20" s="413" t="s">
        <v>25</v>
      </c>
      <c r="B20" s="414" t="s">
        <v>1100</v>
      </c>
      <c r="C20" s="413" t="s">
        <v>390</v>
      </c>
      <c r="D20" s="413">
        <v>3</v>
      </c>
      <c r="E20" s="413" t="s">
        <v>391</v>
      </c>
      <c r="F20" s="419">
        <v>3</v>
      </c>
      <c r="G20" s="420">
        <f t="shared" si="0"/>
        <v>3</v>
      </c>
      <c r="H20" s="480">
        <f>+'QT02BM01Bảng địnhluongLoaiKhí..'!$G$12</f>
        <v>0.3475188873792</v>
      </c>
      <c r="I20" s="429">
        <f t="shared" si="1"/>
        <v>2.0556233677281644E-5</v>
      </c>
      <c r="J20" s="428">
        <f t="shared" si="2"/>
        <v>6.1668701031844926E-5</v>
      </c>
      <c r="K20" s="430">
        <f t="shared" si="3"/>
        <v>3.8030286869550718E-5</v>
      </c>
    </row>
    <row r="21" spans="1:11" ht="49.5">
      <c r="A21" s="413" t="s">
        <v>27</v>
      </c>
      <c r="B21" s="414" t="s">
        <v>346</v>
      </c>
      <c r="C21" s="413" t="s">
        <v>392</v>
      </c>
      <c r="D21" s="413">
        <v>2</v>
      </c>
      <c r="E21" s="413" t="s">
        <v>391</v>
      </c>
      <c r="F21" s="419">
        <v>4</v>
      </c>
      <c r="G21" s="420">
        <f t="shared" si="0"/>
        <v>2.8284271247461903</v>
      </c>
      <c r="H21" s="480">
        <f>+'QT02BM01Bảng địnhluongLoaiKhí..'!$G$13</f>
        <v>512.57315771719504</v>
      </c>
      <c r="I21" s="429">
        <f t="shared" si="1"/>
        <v>3.0319427200627729E-2</v>
      </c>
      <c r="J21" s="428">
        <f t="shared" si="2"/>
        <v>8.5756290301022928E-2</v>
      </c>
      <c r="K21" s="430">
        <f t="shared" si="3"/>
        <v>73.541413261933187</v>
      </c>
    </row>
    <row r="22" spans="1:11" ht="49.5">
      <c r="A22" s="413" t="s">
        <v>29</v>
      </c>
      <c r="B22" s="414" t="s">
        <v>30</v>
      </c>
      <c r="C22" s="413" t="s">
        <v>392</v>
      </c>
      <c r="D22" s="413">
        <v>2</v>
      </c>
      <c r="E22" s="413" t="s">
        <v>394</v>
      </c>
      <c r="F22" s="419">
        <v>1</v>
      </c>
      <c r="G22" s="420">
        <f t="shared" si="0"/>
        <v>1.4142135623730951</v>
      </c>
      <c r="H22" s="480">
        <f>+'QT02BM01Bảng địnhluongLoaiKhí..'!$G$14</f>
        <v>1.094552</v>
      </c>
      <c r="I22" s="429">
        <f t="shared" si="1"/>
        <v>6.4744298802340891E-5</v>
      </c>
      <c r="J22" s="428">
        <f t="shared" si="2"/>
        <v>9.1562265452606634E-5</v>
      </c>
      <c r="K22" s="430">
        <f t="shared" si="3"/>
        <v>8.3836484548136019E-5</v>
      </c>
    </row>
    <row r="23" spans="1:11" ht="49.5">
      <c r="A23" s="413" t="s">
        <v>31</v>
      </c>
      <c r="B23" s="414" t="s">
        <v>347</v>
      </c>
      <c r="C23" s="413" t="s">
        <v>392</v>
      </c>
      <c r="D23" s="413">
        <v>2</v>
      </c>
      <c r="E23" s="413" t="s">
        <v>394</v>
      </c>
      <c r="F23" s="419">
        <v>1</v>
      </c>
      <c r="G23" s="420">
        <f t="shared" si="0"/>
        <v>1.4142135623730951</v>
      </c>
      <c r="H23" s="480">
        <f>+'QT02BM01Bảng địnhluongLoaiKhí..'!$G$15</f>
        <v>9.9407864999999997</v>
      </c>
      <c r="I23" s="429">
        <f t="shared" si="1"/>
        <v>5.8801158052452195E-4</v>
      </c>
      <c r="J23" s="428">
        <f t="shared" si="2"/>
        <v>8.3157395201021833E-4</v>
      </c>
      <c r="K23" s="430">
        <f t="shared" si="3"/>
        <v>6.9151523766189287E-3</v>
      </c>
    </row>
    <row r="24" spans="1:11" ht="49.5">
      <c r="A24" s="413" t="s">
        <v>33</v>
      </c>
      <c r="B24" s="414" t="s">
        <v>36</v>
      </c>
      <c r="C24" s="413" t="s">
        <v>392</v>
      </c>
      <c r="D24" s="413">
        <v>2</v>
      </c>
      <c r="E24" s="413" t="s">
        <v>394</v>
      </c>
      <c r="F24" s="419">
        <v>1</v>
      </c>
      <c r="G24" s="420">
        <f t="shared" si="0"/>
        <v>1.4142135623730951</v>
      </c>
      <c r="H24" s="480">
        <f>+'QT02BM01Bảng địnhluongLoaiKhí..'!$G$17</f>
        <v>59.016019392000004</v>
      </c>
      <c r="I24" s="429">
        <f t="shared" si="1"/>
        <v>3.4908810121770301E-3</v>
      </c>
      <c r="J24" s="428">
        <f t="shared" si="2"/>
        <v>4.9368512720514741E-3</v>
      </c>
      <c r="K24" s="430">
        <f t="shared" si="3"/>
        <v>0.24372500482356257</v>
      </c>
    </row>
    <row r="25" spans="1:11" ht="49.5">
      <c r="A25" s="413" t="s">
        <v>35</v>
      </c>
      <c r="B25" s="414" t="s">
        <v>349</v>
      </c>
      <c r="C25" s="413" t="s">
        <v>392</v>
      </c>
      <c r="D25" s="413">
        <v>2</v>
      </c>
      <c r="E25" s="413" t="s">
        <v>394</v>
      </c>
      <c r="F25" s="419">
        <v>1</v>
      </c>
      <c r="G25" s="420">
        <f t="shared" si="0"/>
        <v>1.4142135623730951</v>
      </c>
      <c r="H25" s="480">
        <f>+'QT02BM01Bảng địnhluongLoaiKhí..'!$G$18</f>
        <v>118.25098300000001</v>
      </c>
      <c r="I25" s="429">
        <f t="shared" si="1"/>
        <v>6.9947128843787544E-3</v>
      </c>
      <c r="J25" s="428">
        <f t="shared" si="2"/>
        <v>9.8920178259942655E-3</v>
      </c>
      <c r="K25" s="430">
        <f t="shared" si="3"/>
        <v>0.978520166697883</v>
      </c>
    </row>
    <row r="26" spans="1:11" ht="33" customHeight="1">
      <c r="A26" s="571" t="s">
        <v>39</v>
      </c>
      <c r="B26" s="481" t="s">
        <v>350</v>
      </c>
      <c r="C26" s="478"/>
      <c r="D26" s="478"/>
      <c r="E26" s="478"/>
      <c r="F26" s="478"/>
      <c r="G26" s="478"/>
      <c r="H26" s="479"/>
      <c r="I26" s="478"/>
      <c r="J26" s="478"/>
      <c r="K26" s="478"/>
    </row>
    <row r="27" spans="1:11" ht="49.5">
      <c r="A27" s="413" t="s">
        <v>41</v>
      </c>
      <c r="B27" s="414" t="s">
        <v>351</v>
      </c>
      <c r="C27" s="413" t="s">
        <v>392</v>
      </c>
      <c r="D27" s="413">
        <v>2</v>
      </c>
      <c r="E27" s="413" t="s">
        <v>391</v>
      </c>
      <c r="F27" s="419">
        <v>4</v>
      </c>
      <c r="G27" s="420">
        <f t="shared" si="0"/>
        <v>2.8284271247461903</v>
      </c>
      <c r="H27" s="480">
        <f>+'QT02BM01Bảng địnhluongLoaiKhí..'!$G$20</f>
        <v>45.515835509142605</v>
      </c>
      <c r="I27" s="429">
        <f>+H27/$H$38</f>
        <v>2.6923260424741142E-3</v>
      </c>
      <c r="J27" s="428">
        <f>G27*I27</f>
        <v>7.6150480071943485E-3</v>
      </c>
      <c r="K27" s="430">
        <f>+J27^2/10^-4</f>
        <v>0.57988956151874615</v>
      </c>
    </row>
    <row r="28" spans="1:11" ht="49.5" hidden="1" customHeight="1">
      <c r="A28" s="413" t="s">
        <v>43</v>
      </c>
      <c r="B28" s="414" t="s">
        <v>26</v>
      </c>
      <c r="C28" s="413" t="s">
        <v>392</v>
      </c>
      <c r="D28" s="413">
        <v>2</v>
      </c>
      <c r="E28" s="413" t="s">
        <v>391</v>
      </c>
      <c r="F28" s="419">
        <v>4</v>
      </c>
      <c r="G28" s="420">
        <f t="shared" si="0"/>
        <v>2.8284271247461903</v>
      </c>
      <c r="H28" s="480"/>
      <c r="I28" s="429">
        <f>+H28/$H$38</f>
        <v>0</v>
      </c>
      <c r="J28" s="428">
        <f>G28*I28</f>
        <v>0</v>
      </c>
      <c r="K28" s="430">
        <f>+J28^2/10^-4</f>
        <v>0</v>
      </c>
    </row>
    <row r="29" spans="1:11" ht="49.5">
      <c r="A29" s="413" t="s">
        <v>43</v>
      </c>
      <c r="B29" s="414" t="s">
        <v>353</v>
      </c>
      <c r="C29" s="413" t="s">
        <v>392</v>
      </c>
      <c r="D29" s="413">
        <v>2</v>
      </c>
      <c r="E29" s="413" t="s">
        <v>391</v>
      </c>
      <c r="F29" s="419">
        <v>4</v>
      </c>
      <c r="G29" s="420">
        <f t="shared" si="0"/>
        <v>2.8284271247461903</v>
      </c>
      <c r="H29" s="480">
        <f>+'QT02BM01Bảng địnhluong Loai'!G20</f>
        <v>237.40165458565917</v>
      </c>
      <c r="I29" s="429">
        <f>+H29/$H$38</f>
        <v>1.4042643621010277E-2</v>
      </c>
      <c r="J29" s="428">
        <f t="shared" ref="J29:J35" si="4">G29*I29</f>
        <v>3.9718594120809525E-2</v>
      </c>
      <c r="K29" s="430">
        <f t="shared" ref="K29:K35" si="5">+J29^2/10^-4</f>
        <v>15.775667189336049</v>
      </c>
    </row>
    <row r="30" spans="1:11" ht="49.5">
      <c r="A30" s="413" t="s">
        <v>355</v>
      </c>
      <c r="B30" s="414" t="s">
        <v>356</v>
      </c>
      <c r="C30" s="413" t="s">
        <v>392</v>
      </c>
      <c r="D30" s="413">
        <v>2</v>
      </c>
      <c r="E30" s="413" t="s">
        <v>391</v>
      </c>
      <c r="F30" s="419">
        <v>4</v>
      </c>
      <c r="G30" s="420">
        <f t="shared" si="0"/>
        <v>2.8284271247461903</v>
      </c>
      <c r="H30" s="480">
        <f>+'QT02BM01Bảng địnhluongLoaiKhí..'!$G$24</f>
        <v>11.86119048449418</v>
      </c>
      <c r="I30" s="429">
        <f>+H30/$H$38</f>
        <v>7.0160619219513905E-4</v>
      </c>
      <c r="J30" s="428">
        <f t="shared" si="4"/>
        <v>1.9844419848946203E-3</v>
      </c>
      <c r="K30" s="430">
        <f t="shared" si="5"/>
        <v>3.9380099914125007E-2</v>
      </c>
    </row>
    <row r="31" spans="1:11" ht="24.75" customHeight="1">
      <c r="A31" s="571" t="s">
        <v>44</v>
      </c>
      <c r="B31" s="481" t="s">
        <v>357</v>
      </c>
      <c r="C31" s="413"/>
      <c r="D31" s="413"/>
      <c r="E31" s="413"/>
      <c r="F31" s="419"/>
      <c r="G31" s="420"/>
      <c r="H31" s="480"/>
      <c r="I31" s="429"/>
      <c r="J31" s="428"/>
      <c r="K31" s="430"/>
    </row>
    <row r="32" spans="1:11" ht="33">
      <c r="A32" s="413" t="s">
        <v>46</v>
      </c>
      <c r="B32" s="414" t="s">
        <v>49</v>
      </c>
      <c r="C32" s="413" t="s">
        <v>390</v>
      </c>
      <c r="D32" s="413">
        <v>3</v>
      </c>
      <c r="E32" s="413" t="s">
        <v>403</v>
      </c>
      <c r="F32" s="419">
        <v>3</v>
      </c>
      <c r="G32" s="420">
        <f t="shared" si="0"/>
        <v>3</v>
      </c>
      <c r="H32" s="482">
        <f>+'QT02BM01Bảng địnhluongLoaiKhí..'!$G$25</f>
        <v>7.3999999999999995E-3</v>
      </c>
      <c r="I32" s="429">
        <f>+H32/$H$38</f>
        <v>4.3772046566752663E-7</v>
      </c>
      <c r="J32" s="428">
        <f t="shared" si="4"/>
        <v>1.3131613970025799E-6</v>
      </c>
      <c r="K32" s="430">
        <f t="shared" si="5"/>
        <v>1.7243928545777671E-8</v>
      </c>
    </row>
    <row r="33" spans="1:11" ht="33">
      <c r="A33" s="413" t="s">
        <v>47</v>
      </c>
      <c r="B33" s="414" t="s">
        <v>52</v>
      </c>
      <c r="C33" s="413" t="s">
        <v>390</v>
      </c>
      <c r="D33" s="413">
        <v>3</v>
      </c>
      <c r="E33" s="413" t="s">
        <v>404</v>
      </c>
      <c r="F33" s="419">
        <v>4</v>
      </c>
      <c r="G33" s="420">
        <f t="shared" si="0"/>
        <v>3.4641016151377544</v>
      </c>
      <c r="H33" s="480">
        <f>+'QT02BM01Bảng địnhluongLoaiKhí..'!$G$26</f>
        <v>12.593820000000001</v>
      </c>
      <c r="I33" s="429">
        <f>+H33/$H$38</f>
        <v>7.449422641801366E-4</v>
      </c>
      <c r="J33" s="428">
        <f t="shared" si="4"/>
        <v>2.580555700530787E-3</v>
      </c>
      <c r="K33" s="430">
        <f t="shared" si="5"/>
        <v>6.6592677235419409E-2</v>
      </c>
    </row>
    <row r="34" spans="1:11" ht="49.5">
      <c r="A34" s="413" t="s">
        <v>358</v>
      </c>
      <c r="B34" s="414" t="s">
        <v>55</v>
      </c>
      <c r="C34" s="413" t="s">
        <v>392</v>
      </c>
      <c r="D34" s="413">
        <v>2</v>
      </c>
      <c r="E34" s="413" t="s">
        <v>405</v>
      </c>
      <c r="F34" s="419">
        <v>4</v>
      </c>
      <c r="G34" s="420">
        <f t="shared" si="0"/>
        <v>2.8284271247461903</v>
      </c>
      <c r="H34" s="480">
        <f>+'QT02BM01Bảng địnhluongLoaiKhí..'!$G$27</f>
        <v>26.604560521857039</v>
      </c>
      <c r="I34" s="429">
        <f>+H34/$H$38</f>
        <v>1.573697381149616E-3</v>
      </c>
      <c r="J34" s="428">
        <f t="shared" si="4"/>
        <v>4.4510883589856179E-3</v>
      </c>
      <c r="K34" s="430">
        <f t="shared" si="5"/>
        <v>0.19812187579497278</v>
      </c>
    </row>
    <row r="35" spans="1:11" ht="33">
      <c r="A35" s="572" t="s">
        <v>359</v>
      </c>
      <c r="B35" s="414" t="s">
        <v>57</v>
      </c>
      <c r="C35" s="413" t="s">
        <v>406</v>
      </c>
      <c r="D35" s="413">
        <v>3</v>
      </c>
      <c r="E35" s="413" t="s">
        <v>405</v>
      </c>
      <c r="F35" s="419">
        <v>6</v>
      </c>
      <c r="G35" s="420">
        <f t="shared" si="0"/>
        <v>4.2426406871192848</v>
      </c>
      <c r="H35" s="480">
        <f>+'QT02BM01Bảng địnhluongLoaiKhí..'!$G$28</f>
        <v>5.5769999999999952E-2</v>
      </c>
      <c r="I35" s="429">
        <f>+H35/$H$38</f>
        <v>3.2988743743618837E-6</v>
      </c>
      <c r="J35" s="428">
        <f t="shared" si="4"/>
        <v>1.3995938642362902E-5</v>
      </c>
      <c r="K35" s="430">
        <f t="shared" si="5"/>
        <v>1.9588629848078712E-6</v>
      </c>
    </row>
    <row r="36" spans="1:11" ht="27.75" customHeight="1">
      <c r="A36" s="571" t="s">
        <v>61</v>
      </c>
      <c r="B36" s="481" t="s">
        <v>62</v>
      </c>
      <c r="C36" s="478"/>
      <c r="D36" s="478"/>
      <c r="E36" s="478"/>
      <c r="F36" s="478"/>
      <c r="G36" s="478"/>
      <c r="H36" s="479"/>
      <c r="I36" s="478"/>
      <c r="J36" s="478"/>
      <c r="K36" s="478"/>
    </row>
    <row r="37" spans="1:11" ht="49.5">
      <c r="A37" s="413" t="s">
        <v>63</v>
      </c>
      <c r="B37" s="414" t="s">
        <v>1145</v>
      </c>
      <c r="C37" s="413" t="s">
        <v>408</v>
      </c>
      <c r="D37" s="413">
        <v>1</v>
      </c>
      <c r="E37" s="413" t="s">
        <v>409</v>
      </c>
      <c r="F37" s="419">
        <v>3</v>
      </c>
      <c r="G37" s="420">
        <f t="shared" si="0"/>
        <v>1.7320508075688772</v>
      </c>
      <c r="H37" s="480">
        <f>+'QT02BM01Bảng địnhluongLoaiKhí..'!$G$30</f>
        <v>15779.499516184856</v>
      </c>
      <c r="I37" s="429">
        <f>+H37/$H$38</f>
        <v>0.93337971300337119</v>
      </c>
      <c r="J37" s="428">
        <f>G37*I37</f>
        <v>1.6166610856758958</v>
      </c>
      <c r="K37" s="430">
        <f>+J37^2/10^-4</f>
        <v>26135.930659387661</v>
      </c>
    </row>
    <row r="38" spans="1:11" ht="17.25">
      <c r="A38" s="793" t="s">
        <v>410</v>
      </c>
      <c r="B38" s="793"/>
      <c r="C38" s="793"/>
      <c r="D38" s="793"/>
      <c r="E38" s="793"/>
      <c r="F38" s="793"/>
      <c r="G38" s="793"/>
      <c r="H38" s="482">
        <f>+SUM(H16:H37)</f>
        <v>16905.76653461919</v>
      </c>
      <c r="I38" s="431">
        <f>+SUM(I16:I37)</f>
        <v>1</v>
      </c>
      <c r="J38" s="428"/>
      <c r="K38" s="428"/>
    </row>
    <row r="39" spans="1:11" ht="17.25">
      <c r="A39" s="786" t="s">
        <v>411</v>
      </c>
      <c r="B39" s="787"/>
      <c r="C39" s="787"/>
      <c r="D39" s="787"/>
      <c r="E39" s="787"/>
      <c r="F39" s="787"/>
      <c r="G39" s="787"/>
      <c r="H39" s="787"/>
      <c r="I39" s="787"/>
      <c r="J39" s="787"/>
      <c r="K39" s="592">
        <f>10^-2*SQRT(SUM(K16:K37))</f>
        <v>1.6195470040542426</v>
      </c>
    </row>
    <row r="40" spans="1:11" ht="17.25">
      <c r="A40" s="788" t="s">
        <v>412</v>
      </c>
      <c r="B40" s="788"/>
      <c r="C40" s="788"/>
      <c r="D40" s="788"/>
      <c r="E40" s="788"/>
      <c r="F40" s="788"/>
      <c r="G40" s="788"/>
      <c r="H40" s="788"/>
      <c r="I40" s="788"/>
      <c r="J40" s="789"/>
      <c r="K40" s="432" t="str">
        <f>IF(K39&gt;4,"Level E",IF(K39&gt;3,"Level D",IF(K39&gt;2,"Level C",IF(K39&gt;1,"Level B","Level A"))))</f>
        <v>Level B</v>
      </c>
    </row>
    <row r="41" spans="1:11" ht="16.5">
      <c r="A41" s="483"/>
      <c r="B41" s="483"/>
      <c r="C41" s="483"/>
      <c r="D41" s="483"/>
      <c r="E41" s="483"/>
      <c r="F41" s="484"/>
      <c r="G41" s="484"/>
      <c r="H41" s="485"/>
      <c r="I41" s="484"/>
      <c r="J41" s="484"/>
      <c r="K41" s="483"/>
    </row>
    <row r="42" spans="1:11" ht="17.25">
      <c r="A42" s="483"/>
      <c r="B42" s="483"/>
      <c r="C42" s="483"/>
      <c r="D42" s="483"/>
      <c r="E42" s="412" t="s">
        <v>413</v>
      </c>
      <c r="F42" s="412" t="s">
        <v>414</v>
      </c>
      <c r="G42" s="790" t="s">
        <v>415</v>
      </c>
      <c r="H42" s="790"/>
      <c r="I42" s="484"/>
      <c r="J42" s="484"/>
      <c r="K42" s="483"/>
    </row>
    <row r="43" spans="1:11" ht="16.5">
      <c r="A43" s="483"/>
      <c r="B43" s="483"/>
      <c r="C43" s="483"/>
      <c r="D43" s="483"/>
      <c r="E43" s="419" t="s">
        <v>416</v>
      </c>
      <c r="F43" s="419" t="s">
        <v>417</v>
      </c>
      <c r="G43" s="781" t="s">
        <v>418</v>
      </c>
      <c r="H43" s="781"/>
      <c r="I43" s="484"/>
      <c r="J43" s="484"/>
      <c r="K43" s="483"/>
    </row>
    <row r="44" spans="1:11" ht="16.5">
      <c r="A44" s="483"/>
      <c r="B44" s="483"/>
      <c r="C44" s="483"/>
      <c r="D44" s="483"/>
      <c r="E44" s="419" t="s">
        <v>419</v>
      </c>
      <c r="F44" s="419" t="s">
        <v>420</v>
      </c>
      <c r="G44" s="781" t="s">
        <v>421</v>
      </c>
      <c r="H44" s="781"/>
      <c r="I44" s="484"/>
      <c r="J44" s="484"/>
      <c r="K44" s="483"/>
    </row>
    <row r="45" spans="1:11" ht="16.5">
      <c r="A45" s="483"/>
      <c r="B45" s="483"/>
      <c r="C45" s="483"/>
      <c r="D45" s="483"/>
      <c r="E45" s="419" t="s">
        <v>422</v>
      </c>
      <c r="F45" s="419" t="s">
        <v>423</v>
      </c>
      <c r="G45" s="781" t="s">
        <v>424</v>
      </c>
      <c r="H45" s="781"/>
      <c r="I45" s="484"/>
      <c r="J45" s="484"/>
      <c r="K45" s="483"/>
    </row>
    <row r="46" spans="1:11" ht="16.5">
      <c r="A46" s="483"/>
      <c r="B46" s="483"/>
      <c r="C46" s="483"/>
      <c r="D46" s="483"/>
      <c r="E46" s="419" t="s">
        <v>425</v>
      </c>
      <c r="F46" s="419" t="s">
        <v>426</v>
      </c>
      <c r="G46" s="781" t="s">
        <v>427</v>
      </c>
      <c r="H46" s="781"/>
      <c r="I46" s="484"/>
      <c r="J46" s="484"/>
      <c r="K46" s="483"/>
    </row>
    <row r="47" spans="1:11" ht="16.5">
      <c r="A47" s="483"/>
      <c r="B47" s="483"/>
      <c r="C47" s="483"/>
      <c r="D47" s="483"/>
      <c r="E47" s="419" t="s">
        <v>428</v>
      </c>
      <c r="F47" s="419" t="s">
        <v>429</v>
      </c>
      <c r="G47" s="781" t="s">
        <v>430</v>
      </c>
      <c r="H47" s="782"/>
      <c r="I47" s="484"/>
      <c r="J47" s="484"/>
      <c r="K47" s="483"/>
    </row>
  </sheetData>
  <mergeCells count="31">
    <mergeCell ref="A3:J3"/>
    <mergeCell ref="A4:C4"/>
    <mergeCell ref="F4:J4"/>
    <mergeCell ref="A5:B5"/>
    <mergeCell ref="F5:I5"/>
    <mergeCell ref="D11:E11"/>
    <mergeCell ref="F11:I11"/>
    <mergeCell ref="A12:K12"/>
    <mergeCell ref="A38:G38"/>
    <mergeCell ref="A6:B6"/>
    <mergeCell ref="F6:I6"/>
    <mergeCell ref="F7:I7"/>
    <mergeCell ref="F8:I8"/>
    <mergeCell ref="A9:B9"/>
    <mergeCell ref="F9:I9"/>
    <mergeCell ref="I1:K2"/>
    <mergeCell ref="G45:H45"/>
    <mergeCell ref="G46:H46"/>
    <mergeCell ref="G47:H47"/>
    <mergeCell ref="A1:A2"/>
    <mergeCell ref="C7:C8"/>
    <mergeCell ref="C10:C11"/>
    <mergeCell ref="A10:B11"/>
    <mergeCell ref="A7:B8"/>
    <mergeCell ref="B1:H2"/>
    <mergeCell ref="A39:J39"/>
    <mergeCell ref="A40:J40"/>
    <mergeCell ref="G42:H42"/>
    <mergeCell ref="G43:H43"/>
    <mergeCell ref="G44:H44"/>
    <mergeCell ref="F10:I10"/>
  </mergeCells>
  <pageMargins left="0.98425196850393704" right="0.59055118110236204" top="0.78740157480314998" bottom="0.78740157480314998" header="3.9370078740157501E-2" footer="3.9370078740157501E-2"/>
  <pageSetup paperSize="9" scale="53"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50"/>
  <sheetViews>
    <sheetView topLeftCell="B1" zoomScale="70" zoomScaleNormal="70" workbookViewId="0">
      <selection activeCell="D17" sqref="D17"/>
    </sheetView>
  </sheetViews>
  <sheetFormatPr defaultColWidth="8.85546875" defaultRowHeight="15"/>
  <cols>
    <col min="1" max="1" width="30.28515625" style="435" customWidth="1"/>
    <col min="2" max="2" width="46.28515625" style="435" customWidth="1"/>
    <col min="3" max="3" width="22.42578125" style="436" customWidth="1"/>
    <col min="4" max="4" width="8.28515625" style="435" customWidth="1"/>
    <col min="5" max="5" width="28.28515625" style="435" customWidth="1"/>
    <col min="6" max="6" width="20" style="437" customWidth="1"/>
    <col min="7" max="7" width="17" style="437" customWidth="1"/>
    <col min="8" max="8" width="12.85546875" style="437" customWidth="1"/>
    <col min="9" max="9" width="18.85546875" style="437" customWidth="1"/>
    <col min="10" max="10" width="16.7109375" style="437" customWidth="1"/>
    <col min="11" max="11" width="19.85546875" style="435" customWidth="1"/>
    <col min="12" max="12" width="8.85546875" style="435"/>
    <col min="13" max="13" width="13.28515625" style="435" customWidth="1"/>
    <col min="14" max="16" width="8.85546875" style="435"/>
    <col min="17" max="17" width="15.5703125" style="435" customWidth="1"/>
    <col min="18" max="16384" width="8.85546875" style="435"/>
  </cols>
  <sheetData>
    <row r="1" spans="1:11" ht="63.75" customHeight="1">
      <c r="A1" s="438"/>
      <c r="B1" s="810" t="s">
        <v>361</v>
      </c>
      <c r="C1" s="811"/>
      <c r="D1" s="811"/>
      <c r="E1" s="811"/>
      <c r="F1" s="811"/>
      <c r="G1" s="811"/>
      <c r="H1" s="812"/>
      <c r="I1" s="813" t="s">
        <v>362</v>
      </c>
      <c r="J1" s="814"/>
      <c r="K1" s="815"/>
    </row>
    <row r="2" spans="1:11" ht="21">
      <c r="A2" s="747"/>
      <c r="B2" s="748"/>
      <c r="C2" s="748"/>
      <c r="D2" s="748"/>
      <c r="E2" s="748"/>
      <c r="F2" s="748"/>
      <c r="G2" s="748"/>
      <c r="H2" s="748"/>
      <c r="I2" s="748"/>
      <c r="J2" s="748"/>
      <c r="K2" s="459"/>
    </row>
    <row r="3" spans="1:11" ht="30" customHeight="1">
      <c r="A3" s="806" t="s">
        <v>363</v>
      </c>
      <c r="B3" s="809"/>
      <c r="C3" s="807"/>
      <c r="D3" s="406"/>
      <c r="E3" s="439"/>
      <c r="F3" s="808" t="s">
        <v>434</v>
      </c>
      <c r="G3" s="809"/>
      <c r="H3" s="809"/>
      <c r="I3" s="809"/>
      <c r="J3" s="807"/>
      <c r="K3" s="459"/>
    </row>
    <row r="4" spans="1:11" ht="31.5">
      <c r="A4" s="806" t="s">
        <v>365</v>
      </c>
      <c r="B4" s="807"/>
      <c r="C4" s="440" t="s">
        <v>366</v>
      </c>
      <c r="D4" s="406"/>
      <c r="E4" s="439"/>
      <c r="F4" s="808" t="s">
        <v>365</v>
      </c>
      <c r="G4" s="809"/>
      <c r="H4" s="809"/>
      <c r="I4" s="807"/>
      <c r="J4" s="440" t="s">
        <v>366</v>
      </c>
      <c r="K4" s="459"/>
    </row>
    <row r="5" spans="1:11">
      <c r="A5" s="798" t="s">
        <v>367</v>
      </c>
      <c r="B5" s="799"/>
      <c r="C5" s="441">
        <v>1</v>
      </c>
      <c r="D5" s="406"/>
      <c r="E5" s="406"/>
      <c r="F5" s="797" t="s">
        <v>368</v>
      </c>
      <c r="G5" s="797"/>
      <c r="H5" s="797"/>
      <c r="I5" s="797"/>
      <c r="J5" s="441">
        <v>1</v>
      </c>
      <c r="K5" s="459"/>
    </row>
    <row r="6" spans="1:11">
      <c r="A6" s="802" t="s">
        <v>369</v>
      </c>
      <c r="B6" s="803"/>
      <c r="C6" s="796">
        <v>2</v>
      </c>
      <c r="D6" s="406"/>
      <c r="E6" s="406"/>
      <c r="F6" s="797" t="s">
        <v>370</v>
      </c>
      <c r="G6" s="797"/>
      <c r="H6" s="797"/>
      <c r="I6" s="797"/>
      <c r="J6" s="441">
        <v>2</v>
      </c>
      <c r="K6" s="459"/>
    </row>
    <row r="7" spans="1:11">
      <c r="A7" s="804"/>
      <c r="B7" s="805"/>
      <c r="C7" s="796"/>
      <c r="D7" s="406"/>
      <c r="E7" s="406"/>
      <c r="F7" s="797" t="s">
        <v>371</v>
      </c>
      <c r="G7" s="797"/>
      <c r="H7" s="797"/>
      <c r="I7" s="797"/>
      <c r="J7" s="441">
        <v>3</v>
      </c>
      <c r="K7" s="459"/>
    </row>
    <row r="8" spans="1:11" ht="36.75" customHeight="1">
      <c r="A8" s="798" t="s">
        <v>372</v>
      </c>
      <c r="B8" s="799"/>
      <c r="C8" s="441">
        <v>3</v>
      </c>
      <c r="D8" s="406"/>
      <c r="E8" s="406"/>
      <c r="F8" s="797" t="s">
        <v>373</v>
      </c>
      <c r="G8" s="797"/>
      <c r="H8" s="797"/>
      <c r="I8" s="797"/>
      <c r="J8" s="441">
        <v>4</v>
      </c>
      <c r="K8" s="459"/>
    </row>
    <row r="9" spans="1:11">
      <c r="A9" s="802" t="s">
        <v>374</v>
      </c>
      <c r="B9" s="803"/>
      <c r="C9" s="796">
        <v>4</v>
      </c>
      <c r="D9" s="406"/>
      <c r="E9" s="406"/>
      <c r="F9" s="797" t="s">
        <v>375</v>
      </c>
      <c r="G9" s="797"/>
      <c r="H9" s="797"/>
      <c r="I9" s="797"/>
      <c r="J9" s="441">
        <v>5</v>
      </c>
      <c r="K9" s="459"/>
    </row>
    <row r="10" spans="1:11">
      <c r="A10" s="804"/>
      <c r="B10" s="805"/>
      <c r="C10" s="796"/>
      <c r="D10" s="800"/>
      <c r="E10" s="801"/>
      <c r="F10" s="797" t="s">
        <v>376</v>
      </c>
      <c r="G10" s="797"/>
      <c r="H10" s="797"/>
      <c r="I10" s="797"/>
      <c r="J10" s="441">
        <v>6</v>
      </c>
      <c r="K10" s="459"/>
    </row>
    <row r="11" spans="1:11">
      <c r="A11" s="775"/>
      <c r="B11" s="776"/>
      <c r="C11" s="776"/>
      <c r="D11" s="776"/>
      <c r="E11" s="776"/>
      <c r="F11" s="776"/>
      <c r="G11" s="776"/>
      <c r="H11" s="776"/>
      <c r="I11" s="776"/>
      <c r="J11" s="776"/>
      <c r="K11" s="777"/>
    </row>
    <row r="12" spans="1:11" ht="86.25">
      <c r="A12" s="442" t="s">
        <v>377</v>
      </c>
      <c r="B12" s="443" t="s">
        <v>378</v>
      </c>
      <c r="C12" s="443" t="s">
        <v>379</v>
      </c>
      <c r="D12" s="443" t="s">
        <v>380</v>
      </c>
      <c r="E12" s="443" t="s">
        <v>381</v>
      </c>
      <c r="F12" s="443" t="s">
        <v>382</v>
      </c>
      <c r="G12" s="443" t="s">
        <v>383</v>
      </c>
      <c r="H12" s="443" t="s">
        <v>384</v>
      </c>
      <c r="I12" s="443" t="s">
        <v>385</v>
      </c>
      <c r="J12" s="443" t="s">
        <v>386</v>
      </c>
      <c r="K12" s="460" t="s">
        <v>387</v>
      </c>
    </row>
    <row r="13" spans="1:11" ht="18.75">
      <c r="A13" s="569" t="s">
        <v>9</v>
      </c>
      <c r="B13" s="445" t="s">
        <v>388</v>
      </c>
      <c r="C13" s="446"/>
      <c r="D13" s="446"/>
      <c r="E13" s="446"/>
      <c r="F13" s="446"/>
      <c r="G13" s="446"/>
      <c r="H13" s="446"/>
      <c r="I13" s="446"/>
      <c r="J13" s="446"/>
      <c r="K13" s="461"/>
    </row>
    <row r="14" spans="1:11" ht="20.25">
      <c r="A14" s="765" t="s">
        <v>435</v>
      </c>
      <c r="B14" s="766"/>
      <c r="C14" s="766"/>
      <c r="D14" s="766"/>
      <c r="E14" s="766"/>
      <c r="F14" s="766"/>
      <c r="G14" s="766"/>
      <c r="H14" s="766"/>
      <c r="I14" s="766"/>
      <c r="J14" s="767"/>
      <c r="K14" s="462" t="e">
        <f>10^-2*SQRT(SUM(K18:K38))</f>
        <v>#REF!</v>
      </c>
    </row>
    <row r="15" spans="1:11" ht="20.25">
      <c r="A15" s="768" t="s">
        <v>412</v>
      </c>
      <c r="B15" s="769"/>
      <c r="C15" s="769"/>
      <c r="D15" s="769"/>
      <c r="E15" s="769"/>
      <c r="F15" s="769"/>
      <c r="G15" s="769"/>
      <c r="H15" s="769"/>
      <c r="I15" s="769"/>
      <c r="J15" s="770"/>
      <c r="K15" s="463" t="e">
        <f>IF(K14&gt;4,"Level E",IF(K14&gt;3,"Level D",IF(K14&gt;2,"Level C",IF(K14&gt;1,"Level B","Level A"))))</f>
        <v>#REF!</v>
      </c>
    </row>
    <row r="16" spans="1:11" ht="17.25">
      <c r="A16" s="778" t="s">
        <v>410</v>
      </c>
      <c r="B16" s="779"/>
      <c r="C16" s="779"/>
      <c r="D16" s="779"/>
      <c r="E16" s="779"/>
      <c r="F16" s="779"/>
      <c r="G16" s="779"/>
      <c r="H16" s="447" t="e">
        <f>+SUM(H18:H38)</f>
        <v>#REF!</v>
      </c>
      <c r="I16" s="464" t="e">
        <f>+SUM(I18:I38)</f>
        <v>#REF!</v>
      </c>
      <c r="J16" s="465"/>
      <c r="K16" s="466"/>
    </row>
    <row r="17" spans="1:11" ht="18.75">
      <c r="A17" s="444">
        <v>1.1000000000000001</v>
      </c>
      <c r="B17" s="445" t="s">
        <v>12</v>
      </c>
      <c r="C17" s="446"/>
      <c r="D17" s="446"/>
      <c r="E17" s="446"/>
      <c r="F17" s="446"/>
      <c r="G17" s="446"/>
      <c r="H17" s="446"/>
      <c r="I17" s="446"/>
      <c r="J17" s="446"/>
      <c r="K17" s="461"/>
    </row>
    <row r="18" spans="1:11" ht="39.75" customHeight="1">
      <c r="A18" s="448" t="s">
        <v>13</v>
      </c>
      <c r="B18" s="404" t="s">
        <v>389</v>
      </c>
      <c r="C18" s="449" t="s">
        <v>390</v>
      </c>
      <c r="D18" s="449">
        <v>3</v>
      </c>
      <c r="E18" s="450" t="s">
        <v>391</v>
      </c>
      <c r="F18" s="451">
        <v>4</v>
      </c>
      <c r="G18" s="452">
        <f>+SQRT(D18*F18)</f>
        <v>3.4641016151377544</v>
      </c>
      <c r="H18" s="453">
        <f>+'1.1.1 DO Máy phát điện'!$N$25</f>
        <v>0.95802775897500003</v>
      </c>
      <c r="I18" s="467" t="e">
        <f>+H18/$H$16</f>
        <v>#REF!</v>
      </c>
      <c r="J18" s="468" t="e">
        <f t="shared" ref="J18:J28" si="0">G18*I18</f>
        <v>#REF!</v>
      </c>
      <c r="K18" s="469" t="e">
        <f t="shared" ref="K18:K28" si="1">+J18^2/10^-4</f>
        <v>#REF!</v>
      </c>
    </row>
    <row r="19" spans="1:11" ht="49.5">
      <c r="A19" s="448" t="s">
        <v>18</v>
      </c>
      <c r="B19" s="404" t="s">
        <v>19</v>
      </c>
      <c r="C19" s="449" t="s">
        <v>392</v>
      </c>
      <c r="D19" s="449">
        <v>2</v>
      </c>
      <c r="E19" s="450" t="s">
        <v>391</v>
      </c>
      <c r="F19" s="451">
        <v>4</v>
      </c>
      <c r="G19" s="452">
        <f t="shared" ref="G19:G40" si="2">+SQRT(D19*F19)</f>
        <v>2.8284271247461903</v>
      </c>
      <c r="H19" s="453">
        <f>+'1.1.2 Gas LPG SX'!$N$25</f>
        <v>83.522361069311998</v>
      </c>
      <c r="I19" s="467" t="e">
        <f t="shared" ref="I19:I38" si="3">+H19/$H$16</f>
        <v>#REF!</v>
      </c>
      <c r="J19" s="468" t="e">
        <f t="shared" si="0"/>
        <v>#REF!</v>
      </c>
      <c r="K19" s="469" t="e">
        <f t="shared" si="1"/>
        <v>#REF!</v>
      </c>
    </row>
    <row r="20" spans="1:11" ht="49.5">
      <c r="A20" s="448" t="s">
        <v>20</v>
      </c>
      <c r="B20" s="404" t="s">
        <v>393</v>
      </c>
      <c r="C20" s="449" t="s">
        <v>392</v>
      </c>
      <c r="D20" s="449">
        <v>2</v>
      </c>
      <c r="E20" s="450" t="s">
        <v>391</v>
      </c>
      <c r="F20" s="451">
        <v>4</v>
      </c>
      <c r="G20" s="452">
        <f t="shared" si="2"/>
        <v>2.8284271247461903</v>
      </c>
      <c r="H20" s="453">
        <f>+'1.1.3 Gas LPG Nhà ăn'!$N$25</f>
        <v>6.2483810083200009</v>
      </c>
      <c r="I20" s="467" t="e">
        <f t="shared" si="3"/>
        <v>#REF!</v>
      </c>
      <c r="J20" s="468" t="e">
        <f t="shared" si="0"/>
        <v>#REF!</v>
      </c>
      <c r="K20" s="469" t="e">
        <f t="shared" si="1"/>
        <v>#REF!</v>
      </c>
    </row>
    <row r="21" spans="1:11" ht="49.5">
      <c r="A21" s="448" t="s">
        <v>25</v>
      </c>
      <c r="B21" s="404" t="s">
        <v>23</v>
      </c>
      <c r="C21" s="449" t="s">
        <v>392</v>
      </c>
      <c r="D21" s="449">
        <v>2</v>
      </c>
      <c r="E21" s="450" t="s">
        <v>394</v>
      </c>
      <c r="F21" s="451">
        <v>1</v>
      </c>
      <c r="G21" s="452">
        <f t="shared" si="2"/>
        <v>1.4142135623730951</v>
      </c>
      <c r="H21" s="453">
        <f>+'1.1.4 Methanol'!$F$25</f>
        <v>0.27500000000000002</v>
      </c>
      <c r="I21" s="467" t="e">
        <f t="shared" si="3"/>
        <v>#REF!</v>
      </c>
      <c r="J21" s="468" t="e">
        <f t="shared" si="0"/>
        <v>#REF!</v>
      </c>
      <c r="K21" s="469" t="e">
        <f t="shared" si="1"/>
        <v>#REF!</v>
      </c>
    </row>
    <row r="22" spans="1:11" ht="33">
      <c r="A22" s="448" t="s">
        <v>27</v>
      </c>
      <c r="B22" s="404" t="s">
        <v>395</v>
      </c>
      <c r="C22" s="449" t="s">
        <v>390</v>
      </c>
      <c r="D22" s="449">
        <v>3</v>
      </c>
      <c r="E22" s="450" t="s">
        <v>391</v>
      </c>
      <c r="F22" s="451">
        <v>3</v>
      </c>
      <c r="G22" s="452">
        <f t="shared" si="2"/>
        <v>3</v>
      </c>
      <c r="H22" s="453">
        <f>+'1.1.5 Xăng MCC '!$N$25</f>
        <v>0.3475188873792</v>
      </c>
      <c r="I22" s="467" t="e">
        <f t="shared" si="3"/>
        <v>#REF!</v>
      </c>
      <c r="J22" s="468" t="e">
        <f t="shared" si="0"/>
        <v>#REF!</v>
      </c>
      <c r="K22" s="469" t="e">
        <f t="shared" si="1"/>
        <v>#REF!</v>
      </c>
    </row>
    <row r="23" spans="1:11" ht="49.5">
      <c r="A23" s="448" t="s">
        <v>29</v>
      </c>
      <c r="B23" s="404" t="s">
        <v>28</v>
      </c>
      <c r="C23" s="449" t="s">
        <v>392</v>
      </c>
      <c r="D23" s="449">
        <v>2</v>
      </c>
      <c r="E23" s="450" t="s">
        <v>391</v>
      </c>
      <c r="F23" s="451">
        <v>4</v>
      </c>
      <c r="G23" s="452">
        <f t="shared" si="2"/>
        <v>2.8284271247461903</v>
      </c>
      <c r="H23" s="453">
        <f>+'1.1.6 Dầu hỏa'!$O$25</f>
        <v>512.57315771719504</v>
      </c>
      <c r="I23" s="467" t="e">
        <f t="shared" si="3"/>
        <v>#REF!</v>
      </c>
      <c r="J23" s="468" t="e">
        <f t="shared" si="0"/>
        <v>#REF!</v>
      </c>
      <c r="K23" s="469" t="e">
        <f t="shared" si="1"/>
        <v>#REF!</v>
      </c>
    </row>
    <row r="24" spans="1:11" ht="49.5">
      <c r="A24" s="448" t="s">
        <v>31</v>
      </c>
      <c r="B24" s="404" t="s">
        <v>30</v>
      </c>
      <c r="C24" s="449" t="s">
        <v>392</v>
      </c>
      <c r="D24" s="449">
        <v>2</v>
      </c>
      <c r="E24" s="450" t="s">
        <v>394</v>
      </c>
      <c r="F24" s="451">
        <v>1</v>
      </c>
      <c r="G24" s="452">
        <f t="shared" si="2"/>
        <v>1.4142135623730951</v>
      </c>
      <c r="H24" s="453">
        <f>+'1.1.7 Nước thủy tinh'!$F$25</f>
        <v>1.094552</v>
      </c>
      <c r="I24" s="467" t="e">
        <f t="shared" si="3"/>
        <v>#REF!</v>
      </c>
      <c r="J24" s="468" t="e">
        <f t="shared" si="0"/>
        <v>#REF!</v>
      </c>
      <c r="K24" s="469" t="e">
        <f t="shared" si="1"/>
        <v>#REF!</v>
      </c>
    </row>
    <row r="25" spans="1:11" ht="49.5">
      <c r="A25" s="448" t="s">
        <v>33</v>
      </c>
      <c r="B25" s="404" t="s">
        <v>396</v>
      </c>
      <c r="C25" s="449" t="s">
        <v>392</v>
      </c>
      <c r="D25" s="449">
        <v>2</v>
      </c>
      <c r="E25" s="450" t="s">
        <v>394</v>
      </c>
      <c r="F25" s="451">
        <v>1</v>
      </c>
      <c r="G25" s="452">
        <f t="shared" si="2"/>
        <v>1.4142135623730951</v>
      </c>
      <c r="H25" s="453">
        <f>+'1.1.8.Sơn lõi khuôn BR-750'!$S$26+'1.1.8. Sơn lõi KOALIDPASTE94i'!$Q$26</f>
        <v>9.9407864999999997</v>
      </c>
      <c r="I25" s="467" t="e">
        <f t="shared" si="3"/>
        <v>#REF!</v>
      </c>
      <c r="J25" s="468" t="e">
        <f t="shared" si="0"/>
        <v>#REF!</v>
      </c>
      <c r="K25" s="469" t="e">
        <f t="shared" si="1"/>
        <v>#REF!</v>
      </c>
    </row>
    <row r="26" spans="1:11" ht="49.5">
      <c r="A26" s="448" t="s">
        <v>35</v>
      </c>
      <c r="B26" s="404" t="s">
        <v>34</v>
      </c>
      <c r="C26" s="449" t="s">
        <v>392</v>
      </c>
      <c r="D26" s="449">
        <v>2</v>
      </c>
      <c r="E26" s="450" t="s">
        <v>394</v>
      </c>
      <c r="F26" s="451">
        <v>1</v>
      </c>
      <c r="G26" s="452">
        <f t="shared" si="2"/>
        <v>1.4142135623730951</v>
      </c>
      <c r="H26" s="453" t="e">
        <f>+#REF!</f>
        <v>#REF!</v>
      </c>
      <c r="I26" s="467" t="e">
        <f t="shared" si="3"/>
        <v>#REF!</v>
      </c>
      <c r="J26" s="468" t="e">
        <f t="shared" si="0"/>
        <v>#REF!</v>
      </c>
      <c r="K26" s="469" t="e">
        <f t="shared" si="1"/>
        <v>#REF!</v>
      </c>
    </row>
    <row r="27" spans="1:11" ht="49.5">
      <c r="A27" s="448" t="s">
        <v>37</v>
      </c>
      <c r="B27" s="404" t="s">
        <v>36</v>
      </c>
      <c r="C27" s="449" t="s">
        <v>392</v>
      </c>
      <c r="D27" s="449">
        <v>2</v>
      </c>
      <c r="E27" s="450" t="s">
        <v>394</v>
      </c>
      <c r="F27" s="451">
        <v>1</v>
      </c>
      <c r="G27" s="452">
        <f t="shared" si="2"/>
        <v>1.4142135623730951</v>
      </c>
      <c r="H27" s="453">
        <f>+'1.1.9 Cồn Công nghiệp'!$G$25</f>
        <v>59.016019392000004</v>
      </c>
      <c r="I27" s="467" t="e">
        <f t="shared" si="3"/>
        <v>#REF!</v>
      </c>
      <c r="J27" s="468" t="e">
        <f t="shared" si="0"/>
        <v>#REF!</v>
      </c>
      <c r="K27" s="469" t="e">
        <f t="shared" si="1"/>
        <v>#REF!</v>
      </c>
    </row>
    <row r="28" spans="1:11" ht="49.5">
      <c r="A28" s="448" t="s">
        <v>37</v>
      </c>
      <c r="B28" s="404" t="s">
        <v>397</v>
      </c>
      <c r="C28" s="449" t="s">
        <v>392</v>
      </c>
      <c r="D28" s="449">
        <v>2</v>
      </c>
      <c r="E28" s="450" t="s">
        <v>394</v>
      </c>
      <c r="F28" s="451">
        <v>1</v>
      </c>
      <c r="G28" s="452">
        <f t="shared" si="2"/>
        <v>1.4142135623730951</v>
      </c>
      <c r="H28" s="453">
        <f>+'1.1.10. CO2 kết dính thao'!$J$22</f>
        <v>118.25098300000001</v>
      </c>
      <c r="I28" s="467" t="e">
        <f t="shared" si="3"/>
        <v>#REF!</v>
      </c>
      <c r="J28" s="468" t="e">
        <f t="shared" si="0"/>
        <v>#REF!</v>
      </c>
      <c r="K28" s="469" t="e">
        <f t="shared" si="1"/>
        <v>#REF!</v>
      </c>
    </row>
    <row r="29" spans="1:11" ht="27" customHeight="1">
      <c r="A29" s="444">
        <v>1.2</v>
      </c>
      <c r="B29" s="454" t="s">
        <v>40</v>
      </c>
      <c r="C29" s="446"/>
      <c r="D29" s="446"/>
      <c r="E29" s="446"/>
      <c r="F29" s="446"/>
      <c r="G29" s="446"/>
      <c r="H29" s="446"/>
      <c r="I29" s="446"/>
      <c r="J29" s="446"/>
      <c r="K29" s="461"/>
    </row>
    <row r="30" spans="1:11" ht="63" customHeight="1">
      <c r="A30" s="448" t="s">
        <v>41</v>
      </c>
      <c r="B30" s="404" t="s">
        <v>398</v>
      </c>
      <c r="C30" s="449" t="s">
        <v>392</v>
      </c>
      <c r="D30" s="449">
        <v>2</v>
      </c>
      <c r="E30" s="450" t="s">
        <v>391</v>
      </c>
      <c r="F30" s="451">
        <v>4</v>
      </c>
      <c r="G30" s="452">
        <f t="shared" si="2"/>
        <v>2.8284271247461903</v>
      </c>
      <c r="H30" s="455">
        <f>+'1.2.1 DO Xe nângNB Offroad'!$N$25</f>
        <v>45.515835509142605</v>
      </c>
      <c r="I30" s="467" t="e">
        <f t="shared" si="3"/>
        <v>#REF!</v>
      </c>
      <c r="J30" s="468" t="e">
        <f>G30*I30</f>
        <v>#REF!</v>
      </c>
      <c r="K30" s="469" t="e">
        <f>+J30^2/10^-4</f>
        <v>#REF!</v>
      </c>
    </row>
    <row r="31" spans="1:11" ht="55.5" customHeight="1">
      <c r="A31" s="448" t="s">
        <v>43</v>
      </c>
      <c r="B31" s="404" t="s">
        <v>26</v>
      </c>
      <c r="C31" s="449" t="s">
        <v>392</v>
      </c>
      <c r="D31" s="449">
        <v>2</v>
      </c>
      <c r="E31" s="450" t="s">
        <v>391</v>
      </c>
      <c r="F31" s="451">
        <v>4</v>
      </c>
      <c r="G31" s="452">
        <f t="shared" si="2"/>
        <v>2.8284271247461903</v>
      </c>
      <c r="H31" s="452"/>
      <c r="I31" s="467" t="e">
        <f t="shared" si="3"/>
        <v>#REF!</v>
      </c>
      <c r="J31" s="468" t="e">
        <f>G31*I31</f>
        <v>#REF!</v>
      </c>
      <c r="K31" s="469" t="e">
        <f>+J31^2/10^-4</f>
        <v>#REF!</v>
      </c>
    </row>
    <row r="32" spans="1:11" ht="27.75" customHeight="1">
      <c r="A32" s="444">
        <v>1.3</v>
      </c>
      <c r="B32" s="454" t="s">
        <v>399</v>
      </c>
      <c r="C32" s="446"/>
      <c r="D32" s="446"/>
      <c r="E32" s="446"/>
      <c r="F32" s="446"/>
      <c r="G32" s="446"/>
      <c r="H32" s="446"/>
      <c r="I32" s="446"/>
      <c r="J32" s="446"/>
      <c r="K32" s="461"/>
    </row>
    <row r="33" spans="1:11" ht="49.5">
      <c r="A33" s="448" t="s">
        <v>46</v>
      </c>
      <c r="B33" s="404" t="s">
        <v>400</v>
      </c>
      <c r="C33" s="449" t="s">
        <v>392</v>
      </c>
      <c r="D33" s="449">
        <v>2</v>
      </c>
      <c r="E33" s="450" t="s">
        <v>391</v>
      </c>
      <c r="F33" s="451">
        <v>4</v>
      </c>
      <c r="G33" s="452">
        <f t="shared" si="2"/>
        <v>2.8284271247461903</v>
      </c>
      <c r="H33" s="455">
        <f>+'1.2.2 DOXevậntảiBNOnroad'!$P$25</f>
        <v>242.9563247528508</v>
      </c>
      <c r="I33" s="467" t="e">
        <f t="shared" si="3"/>
        <v>#REF!</v>
      </c>
      <c r="J33" s="468" t="e">
        <f t="shared" ref="J33:J38" si="4">G33*I33</f>
        <v>#REF!</v>
      </c>
      <c r="K33" s="469" t="e">
        <f t="shared" ref="K33:K38" si="5">+J33^2/10^-4</f>
        <v>#REF!</v>
      </c>
    </row>
    <row r="34" spans="1:11" ht="49.5">
      <c r="A34" s="448" t="s">
        <v>47</v>
      </c>
      <c r="B34" s="404" t="s">
        <v>401</v>
      </c>
      <c r="C34" s="449" t="s">
        <v>392</v>
      </c>
      <c r="D34" s="449">
        <v>2</v>
      </c>
      <c r="E34" s="450" t="s">
        <v>391</v>
      </c>
      <c r="F34" s="451">
        <v>4</v>
      </c>
      <c r="G34" s="452">
        <f t="shared" si="2"/>
        <v>2.8284271247461903</v>
      </c>
      <c r="H34" s="453">
        <f>+'1.2.3 Xăng Xe Onroad'!$N$25</f>
        <v>11.86119048449418</v>
      </c>
      <c r="I34" s="467" t="e">
        <f t="shared" si="3"/>
        <v>#REF!</v>
      </c>
      <c r="J34" s="468" t="e">
        <f t="shared" si="4"/>
        <v>#REF!</v>
      </c>
      <c r="K34" s="469" t="e">
        <f t="shared" si="5"/>
        <v>#REF!</v>
      </c>
    </row>
    <row r="35" spans="1:11" ht="33">
      <c r="A35" s="448">
        <v>1.4</v>
      </c>
      <c r="B35" s="404" t="s">
        <v>402</v>
      </c>
      <c r="C35" s="449" t="s">
        <v>390</v>
      </c>
      <c r="D35" s="449">
        <v>3</v>
      </c>
      <c r="E35" s="450" t="s">
        <v>403</v>
      </c>
      <c r="F35" s="451">
        <v>3</v>
      </c>
      <c r="G35" s="452">
        <f t="shared" si="2"/>
        <v>3</v>
      </c>
      <c r="H35" s="455">
        <f>+'1.3.1. Bình chữacháyCO2'!$G$22</f>
        <v>7.3999999999999995E-3</v>
      </c>
      <c r="I35" s="467" t="e">
        <f t="shared" si="3"/>
        <v>#REF!</v>
      </c>
      <c r="J35" s="468" t="e">
        <f t="shared" si="4"/>
        <v>#REF!</v>
      </c>
      <c r="K35" s="469" t="e">
        <f t="shared" si="5"/>
        <v>#REF!</v>
      </c>
    </row>
    <row r="36" spans="1:11" ht="33">
      <c r="A36" s="448">
        <v>1.5</v>
      </c>
      <c r="B36" s="404" t="s">
        <v>52</v>
      </c>
      <c r="C36" s="449" t="s">
        <v>390</v>
      </c>
      <c r="D36" s="449">
        <v>3</v>
      </c>
      <c r="E36" s="450" t="s">
        <v>404</v>
      </c>
      <c r="F36" s="451">
        <v>4</v>
      </c>
      <c r="G36" s="452">
        <f t="shared" si="2"/>
        <v>3.4641016151377544</v>
      </c>
      <c r="H36" s="452">
        <f>+'1.3.2.Môi chất lạnh'!$T$60</f>
        <v>12.593820000000001</v>
      </c>
      <c r="I36" s="467" t="e">
        <f t="shared" si="3"/>
        <v>#REF!</v>
      </c>
      <c r="J36" s="468" t="e">
        <f t="shared" si="4"/>
        <v>#REF!</v>
      </c>
      <c r="K36" s="469" t="e">
        <f t="shared" si="5"/>
        <v>#REF!</v>
      </c>
    </row>
    <row r="37" spans="1:11" ht="49.5">
      <c r="A37" s="448">
        <v>1.6</v>
      </c>
      <c r="B37" s="404" t="s">
        <v>55</v>
      </c>
      <c r="C37" s="449" t="s">
        <v>392</v>
      </c>
      <c r="D37" s="449">
        <v>2</v>
      </c>
      <c r="E37" s="450" t="s">
        <v>405</v>
      </c>
      <c r="F37" s="451">
        <v>4</v>
      </c>
      <c r="G37" s="452">
        <f t="shared" si="2"/>
        <v>2.8284271247461903</v>
      </c>
      <c r="H37" s="452">
        <f>+'1.3.3 BỂ XỬ LÝ NƯỚC THẢI TT '!$K$25+'1.3.3 BỂ XỬ LÝ NƯỚC THẢI TT '!$Q$44+'1.3.3 BỂ XL NƯỚC THẢI TT'!$J$23</f>
        <v>26.604560521857039</v>
      </c>
      <c r="I37" s="467" t="e">
        <f t="shared" si="3"/>
        <v>#REF!</v>
      </c>
      <c r="J37" s="468" t="e">
        <f t="shared" si="4"/>
        <v>#REF!</v>
      </c>
      <c r="K37" s="469" t="e">
        <f t="shared" si="5"/>
        <v>#REF!</v>
      </c>
    </row>
    <row r="38" spans="1:11" ht="37.5">
      <c r="A38" s="570" t="s">
        <v>56</v>
      </c>
      <c r="B38" s="404" t="s">
        <v>57</v>
      </c>
      <c r="C38" s="449" t="s">
        <v>406</v>
      </c>
      <c r="D38" s="449">
        <v>3</v>
      </c>
      <c r="E38" s="450" t="s">
        <v>405</v>
      </c>
      <c r="F38" s="451">
        <v>6</v>
      </c>
      <c r="G38" s="452">
        <f t="shared" si="2"/>
        <v>4.2426406871192848</v>
      </c>
      <c r="H38" s="452">
        <f>+'1.3.4 Phân bón'!$H$26</f>
        <v>5.5769999999999952E-2</v>
      </c>
      <c r="I38" s="467" t="e">
        <f t="shared" si="3"/>
        <v>#REF!</v>
      </c>
      <c r="J38" s="468" t="e">
        <f t="shared" si="4"/>
        <v>#REF!</v>
      </c>
      <c r="K38" s="469" t="e">
        <f t="shared" si="5"/>
        <v>#REF!</v>
      </c>
    </row>
    <row r="39" spans="1:11" ht="25.5" customHeight="1">
      <c r="A39" s="569" t="s">
        <v>61</v>
      </c>
      <c r="B39" s="454" t="s">
        <v>62</v>
      </c>
      <c r="C39" s="446"/>
      <c r="D39" s="446"/>
      <c r="E39" s="446"/>
      <c r="F39" s="446"/>
      <c r="G39" s="446"/>
      <c r="H39" s="446"/>
      <c r="I39" s="446"/>
      <c r="J39" s="446"/>
      <c r="K39" s="461"/>
    </row>
    <row r="40" spans="1:11" ht="49.5">
      <c r="A40" s="448">
        <v>2.1</v>
      </c>
      <c r="B40" s="404" t="s">
        <v>407</v>
      </c>
      <c r="C40" s="449" t="s">
        <v>408</v>
      </c>
      <c r="D40" s="449">
        <v>1</v>
      </c>
      <c r="E40" s="450" t="s">
        <v>409</v>
      </c>
      <c r="F40" s="451">
        <v>3</v>
      </c>
      <c r="G40" s="452">
        <f t="shared" si="2"/>
        <v>1.7320508075688772</v>
      </c>
      <c r="H40" s="452">
        <f>+'2.1. MUA ĐIỆN NGOÀI '!$H$23</f>
        <v>15779.499516184856</v>
      </c>
      <c r="I40" s="467">
        <f>+H40/$H$41</f>
        <v>1</v>
      </c>
      <c r="J40" s="468">
        <f>G40*I40</f>
        <v>1.7320508075688772</v>
      </c>
      <c r="K40" s="469">
        <f>+J40^2/10^-4</f>
        <v>29999.999999999993</v>
      </c>
    </row>
    <row r="41" spans="1:11" ht="17.25">
      <c r="A41" s="778" t="s">
        <v>410</v>
      </c>
      <c r="B41" s="779"/>
      <c r="C41" s="779"/>
      <c r="D41" s="779"/>
      <c r="E41" s="779"/>
      <c r="F41" s="779"/>
      <c r="G41" s="779"/>
      <c r="H41" s="456">
        <f>+H40</f>
        <v>15779.499516184856</v>
      </c>
      <c r="I41" s="470">
        <f>+I40</f>
        <v>1</v>
      </c>
      <c r="J41" s="465"/>
      <c r="K41" s="466"/>
    </row>
    <row r="42" spans="1:11" ht="20.25">
      <c r="A42" s="765" t="s">
        <v>436</v>
      </c>
      <c r="B42" s="766"/>
      <c r="C42" s="766"/>
      <c r="D42" s="766"/>
      <c r="E42" s="766"/>
      <c r="F42" s="766"/>
      <c r="G42" s="766"/>
      <c r="H42" s="766"/>
      <c r="I42" s="766"/>
      <c r="J42" s="767"/>
      <c r="K42" s="462">
        <f>10^-2*SQRT(SUM(K40))</f>
        <v>1.732050807568877</v>
      </c>
    </row>
    <row r="43" spans="1:11" ht="20.25">
      <c r="A43" s="768" t="s">
        <v>412</v>
      </c>
      <c r="B43" s="769"/>
      <c r="C43" s="769"/>
      <c r="D43" s="769"/>
      <c r="E43" s="769"/>
      <c r="F43" s="769"/>
      <c r="G43" s="769"/>
      <c r="H43" s="769"/>
      <c r="I43" s="769"/>
      <c r="J43" s="770"/>
      <c r="K43" s="463" t="str">
        <f>IF(K42&gt;4,"Level E",IF(K42&gt;3,"Level D",IF(K42&gt;2,"Level C",IF(K42&gt;1,"Level B","Level A"))))</f>
        <v>Level B</v>
      </c>
    </row>
    <row r="45" spans="1:11" ht="17.25">
      <c r="A45" s="422"/>
      <c r="E45" s="457" t="s">
        <v>413</v>
      </c>
      <c r="F45" s="457" t="s">
        <v>414</v>
      </c>
      <c r="G45" s="771" t="s">
        <v>415</v>
      </c>
      <c r="H45" s="772"/>
      <c r="I45" s="434"/>
      <c r="J45" s="434"/>
      <c r="K45" s="422"/>
    </row>
    <row r="46" spans="1:11" ht="16.5">
      <c r="A46" s="422"/>
      <c r="E46" s="458" t="s">
        <v>416</v>
      </c>
      <c r="F46" s="458" t="s">
        <v>417</v>
      </c>
      <c r="G46" s="742" t="s">
        <v>418</v>
      </c>
      <c r="H46" s="743"/>
      <c r="I46" s="434"/>
      <c r="J46" s="434"/>
      <c r="K46" s="422"/>
    </row>
    <row r="47" spans="1:11" ht="16.5">
      <c r="A47" s="422"/>
      <c r="E47" s="458" t="s">
        <v>419</v>
      </c>
      <c r="F47" s="458" t="s">
        <v>420</v>
      </c>
      <c r="G47" s="742" t="s">
        <v>421</v>
      </c>
      <c r="H47" s="743"/>
      <c r="I47" s="434"/>
      <c r="J47" s="434"/>
      <c r="K47" s="422"/>
    </row>
    <row r="48" spans="1:11" ht="16.5">
      <c r="A48" s="422"/>
      <c r="E48" s="458" t="s">
        <v>422</v>
      </c>
      <c r="F48" s="458" t="s">
        <v>423</v>
      </c>
      <c r="G48" s="742" t="s">
        <v>424</v>
      </c>
      <c r="H48" s="743"/>
      <c r="I48" s="434"/>
      <c r="J48" s="434"/>
      <c r="K48" s="422"/>
    </row>
    <row r="49" spans="1:11" ht="16.5">
      <c r="A49" s="422"/>
      <c r="E49" s="458" t="s">
        <v>425</v>
      </c>
      <c r="F49" s="458" t="s">
        <v>426</v>
      </c>
      <c r="G49" s="742" t="s">
        <v>427</v>
      </c>
      <c r="H49" s="743"/>
      <c r="I49" s="434"/>
      <c r="J49" s="434"/>
      <c r="K49" s="422"/>
    </row>
    <row r="50" spans="1:11" ht="16.5">
      <c r="A50" s="422"/>
      <c r="E50" s="458" t="s">
        <v>428</v>
      </c>
      <c r="F50" s="458" t="s">
        <v>429</v>
      </c>
      <c r="G50" s="754" t="s">
        <v>430</v>
      </c>
      <c r="H50" s="755"/>
      <c r="I50" s="434"/>
      <c r="J50" s="434"/>
      <c r="K50" s="422"/>
    </row>
  </sheetData>
  <mergeCells count="33">
    <mergeCell ref="B1:H1"/>
    <mergeCell ref="I1:K1"/>
    <mergeCell ref="A2:J2"/>
    <mergeCell ref="A3:C3"/>
    <mergeCell ref="F3:J3"/>
    <mergeCell ref="A6:B7"/>
    <mergeCell ref="A4:B4"/>
    <mergeCell ref="F4:I4"/>
    <mergeCell ref="A5:B5"/>
    <mergeCell ref="F5:I5"/>
    <mergeCell ref="F6:I6"/>
    <mergeCell ref="A8:B8"/>
    <mergeCell ref="F8:I8"/>
    <mergeCell ref="F9:I9"/>
    <mergeCell ref="D10:E10"/>
    <mergeCell ref="F10:I10"/>
    <mergeCell ref="A9:B10"/>
    <mergeCell ref="G48:H48"/>
    <mergeCell ref="G49:H49"/>
    <mergeCell ref="G50:H50"/>
    <mergeCell ref="C6:C7"/>
    <mergeCell ref="C9:C10"/>
    <mergeCell ref="A42:J42"/>
    <mergeCell ref="A43:J43"/>
    <mergeCell ref="G45:H45"/>
    <mergeCell ref="G46:H46"/>
    <mergeCell ref="G47:H47"/>
    <mergeCell ref="A11:K11"/>
    <mergeCell ref="A14:J14"/>
    <mergeCell ref="A15:J15"/>
    <mergeCell ref="A16:G16"/>
    <mergeCell ref="A41:G41"/>
    <mergeCell ref="F7:I7"/>
  </mergeCells>
  <pageMargins left="0.7" right="0.7" top="0.75" bottom="0.75" header="0.3" footer="0.3"/>
  <pageSetup scale="34"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50"/>
  <sheetViews>
    <sheetView topLeftCell="A28" zoomScale="70" zoomScaleNormal="70" workbookViewId="0">
      <selection activeCell="B46" sqref="B46"/>
    </sheetView>
  </sheetViews>
  <sheetFormatPr defaultColWidth="8.85546875" defaultRowHeight="15"/>
  <cols>
    <col min="1" max="1" width="30.28515625" style="406" customWidth="1"/>
    <col min="2" max="2" width="46.28515625" style="406" customWidth="1"/>
    <col min="3" max="3" width="22.42578125" style="407" customWidth="1"/>
    <col min="4" max="4" width="8.28515625" style="406" customWidth="1"/>
    <col min="5" max="5" width="28.28515625" style="406" customWidth="1"/>
    <col min="6" max="6" width="20" style="408" customWidth="1"/>
    <col min="7" max="7" width="17" style="408" customWidth="1"/>
    <col min="8" max="8" width="12.85546875" style="408" customWidth="1"/>
    <col min="9" max="9" width="18.85546875" style="408" customWidth="1"/>
    <col min="10" max="10" width="16.7109375" style="408" customWidth="1"/>
    <col min="11" max="11" width="19.85546875" style="406" customWidth="1"/>
    <col min="12" max="12" width="8.85546875" style="406"/>
    <col min="13" max="13" width="13.28515625" style="406" customWidth="1"/>
    <col min="14" max="16" width="8.85546875" style="406"/>
    <col min="17" max="17" width="15.5703125" style="406" customWidth="1"/>
    <col min="18" max="16384" width="8.85546875" style="406"/>
  </cols>
  <sheetData>
    <row r="1" spans="1:11" ht="63.75" customHeight="1">
      <c r="A1" s="409"/>
      <c r="B1" s="780" t="s">
        <v>437</v>
      </c>
      <c r="C1" s="780"/>
      <c r="D1" s="780"/>
      <c r="E1" s="780"/>
      <c r="F1" s="780"/>
      <c r="G1" s="780"/>
      <c r="H1" s="780"/>
      <c r="I1" s="780" t="s">
        <v>1108</v>
      </c>
      <c r="J1" s="780"/>
      <c r="K1" s="780"/>
    </row>
    <row r="2" spans="1:11" ht="20.25">
      <c r="A2" s="837"/>
      <c r="B2" s="838"/>
      <c r="C2" s="838"/>
      <c r="D2" s="838"/>
      <c r="E2" s="838"/>
      <c r="F2" s="838"/>
      <c r="G2" s="838"/>
      <c r="H2" s="838"/>
      <c r="I2" s="838"/>
      <c r="J2" s="838"/>
      <c r="K2" s="423"/>
    </row>
    <row r="3" spans="1:11" ht="30" customHeight="1">
      <c r="A3" s="834" t="s">
        <v>363</v>
      </c>
      <c r="B3" s="836"/>
      <c r="C3" s="835"/>
      <c r="D3" s="410"/>
      <c r="E3" s="411"/>
      <c r="F3" s="834" t="s">
        <v>434</v>
      </c>
      <c r="G3" s="836"/>
      <c r="H3" s="836"/>
      <c r="I3" s="836"/>
      <c r="J3" s="835"/>
      <c r="K3" s="411"/>
    </row>
    <row r="4" spans="1:11" ht="34.5">
      <c r="A4" s="834" t="s">
        <v>365</v>
      </c>
      <c r="B4" s="835"/>
      <c r="C4" s="412" t="s">
        <v>366</v>
      </c>
      <c r="D4" s="410"/>
      <c r="E4" s="411"/>
      <c r="F4" s="834" t="s">
        <v>365</v>
      </c>
      <c r="G4" s="836"/>
      <c r="H4" s="836"/>
      <c r="I4" s="835"/>
      <c r="J4" s="412" t="s">
        <v>366</v>
      </c>
      <c r="K4" s="411"/>
    </row>
    <row r="5" spans="1:11" ht="42" customHeight="1">
      <c r="A5" s="826" t="s">
        <v>367</v>
      </c>
      <c r="B5" s="827"/>
      <c r="C5" s="413">
        <v>1</v>
      </c>
      <c r="D5" s="410"/>
      <c r="E5" s="410"/>
      <c r="F5" s="825" t="s">
        <v>368</v>
      </c>
      <c r="G5" s="825"/>
      <c r="H5" s="825"/>
      <c r="I5" s="825"/>
      <c r="J5" s="413">
        <v>1</v>
      </c>
      <c r="K5" s="411"/>
    </row>
    <row r="6" spans="1:11" ht="71.25" customHeight="1">
      <c r="A6" s="830" t="s">
        <v>369</v>
      </c>
      <c r="B6" s="831"/>
      <c r="C6" s="781">
        <v>2</v>
      </c>
      <c r="D6" s="410"/>
      <c r="E6" s="410"/>
      <c r="F6" s="825" t="s">
        <v>370</v>
      </c>
      <c r="G6" s="825"/>
      <c r="H6" s="825"/>
      <c r="I6" s="825"/>
      <c r="J6" s="413">
        <v>2</v>
      </c>
      <c r="K6" s="411"/>
    </row>
    <row r="7" spans="1:11" ht="48.75" customHeight="1">
      <c r="A7" s="832"/>
      <c r="B7" s="833"/>
      <c r="C7" s="781"/>
      <c r="D7" s="410"/>
      <c r="E7" s="410"/>
      <c r="F7" s="825" t="s">
        <v>371</v>
      </c>
      <c r="G7" s="825"/>
      <c r="H7" s="825"/>
      <c r="I7" s="825"/>
      <c r="J7" s="413">
        <v>3</v>
      </c>
      <c r="K7" s="411"/>
    </row>
    <row r="8" spans="1:11" ht="53.25" customHeight="1">
      <c r="A8" s="826" t="s">
        <v>372</v>
      </c>
      <c r="B8" s="827"/>
      <c r="C8" s="413">
        <v>3</v>
      </c>
      <c r="D8" s="410"/>
      <c r="E8" s="410"/>
      <c r="F8" s="825" t="s">
        <v>373</v>
      </c>
      <c r="G8" s="825"/>
      <c r="H8" s="825"/>
      <c r="I8" s="825"/>
      <c r="J8" s="413">
        <v>4</v>
      </c>
      <c r="K8" s="411"/>
    </row>
    <row r="9" spans="1:11" ht="41.25" customHeight="1">
      <c r="A9" s="830" t="s">
        <v>374</v>
      </c>
      <c r="B9" s="831"/>
      <c r="C9" s="781">
        <v>4</v>
      </c>
      <c r="D9" s="410"/>
      <c r="E9" s="410"/>
      <c r="F9" s="825" t="s">
        <v>375</v>
      </c>
      <c r="G9" s="825"/>
      <c r="H9" s="825"/>
      <c r="I9" s="825"/>
      <c r="J9" s="413">
        <v>5</v>
      </c>
      <c r="K9" s="411"/>
    </row>
    <row r="10" spans="1:11" ht="44.25" customHeight="1">
      <c r="A10" s="832"/>
      <c r="B10" s="833"/>
      <c r="C10" s="781"/>
      <c r="D10" s="828"/>
      <c r="E10" s="829"/>
      <c r="F10" s="825" t="s">
        <v>376</v>
      </c>
      <c r="G10" s="825"/>
      <c r="H10" s="825"/>
      <c r="I10" s="825"/>
      <c r="J10" s="413">
        <v>6</v>
      </c>
      <c r="K10" s="411"/>
    </row>
    <row r="11" spans="1:11" ht="16.5">
      <c r="A11" s="819"/>
      <c r="B11" s="820"/>
      <c r="C11" s="820"/>
      <c r="D11" s="820"/>
      <c r="E11" s="820"/>
      <c r="F11" s="820"/>
      <c r="G11" s="820"/>
      <c r="H11" s="820"/>
      <c r="I11" s="820"/>
      <c r="J11" s="820"/>
      <c r="K11" s="821"/>
    </row>
    <row r="12" spans="1:11" ht="86.25">
      <c r="A12" s="412" t="s">
        <v>377</v>
      </c>
      <c r="B12" s="412" t="s">
        <v>378</v>
      </c>
      <c r="C12" s="412" t="s">
        <v>379</v>
      </c>
      <c r="D12" s="412" t="s">
        <v>380</v>
      </c>
      <c r="E12" s="412" t="s">
        <v>381</v>
      </c>
      <c r="F12" s="412" t="s">
        <v>382</v>
      </c>
      <c r="G12" s="412" t="s">
        <v>383</v>
      </c>
      <c r="H12" s="412" t="s">
        <v>384</v>
      </c>
      <c r="I12" s="412" t="s">
        <v>385</v>
      </c>
      <c r="J12" s="412" t="s">
        <v>386</v>
      </c>
      <c r="K12" s="412" t="s">
        <v>387</v>
      </c>
    </row>
    <row r="13" spans="1:11" ht="17.25">
      <c r="A13" s="571" t="s">
        <v>9</v>
      </c>
      <c r="B13" s="415" t="s">
        <v>388</v>
      </c>
      <c r="C13" s="416"/>
      <c r="D13" s="416"/>
      <c r="E13" s="416"/>
      <c r="F13" s="416"/>
      <c r="G13" s="416"/>
      <c r="H13" s="416"/>
      <c r="I13" s="416"/>
      <c r="J13" s="416"/>
      <c r="K13" s="424"/>
    </row>
    <row r="14" spans="1:11" ht="17.25">
      <c r="A14" s="786" t="s">
        <v>435</v>
      </c>
      <c r="B14" s="787"/>
      <c r="C14" s="787"/>
      <c r="D14" s="787"/>
      <c r="E14" s="787"/>
      <c r="F14" s="787"/>
      <c r="G14" s="787"/>
      <c r="H14" s="787"/>
      <c r="I14" s="787"/>
      <c r="J14" s="816"/>
      <c r="K14" s="425">
        <f>10^-2*SQRT(SUM(K18:K37))</f>
        <v>1.4506202718475603</v>
      </c>
    </row>
    <row r="15" spans="1:11" ht="17.25">
      <c r="A15" s="822" t="s">
        <v>412</v>
      </c>
      <c r="B15" s="823"/>
      <c r="C15" s="823"/>
      <c r="D15" s="823"/>
      <c r="E15" s="823"/>
      <c r="F15" s="823"/>
      <c r="G15" s="823"/>
      <c r="H15" s="823"/>
      <c r="I15" s="823"/>
      <c r="J15" s="824"/>
      <c r="K15" s="426" t="str">
        <f>IF(K14&gt;4,"Level E",IF(K14&gt;3,"Level D",IF(K14&gt;2,"Level C",IF(K14&gt;1,"Level B","Level A"))))</f>
        <v>Level B</v>
      </c>
    </row>
    <row r="16" spans="1:11" ht="17.25">
      <c r="A16" s="793" t="s">
        <v>410</v>
      </c>
      <c r="B16" s="793"/>
      <c r="C16" s="793"/>
      <c r="D16" s="793"/>
      <c r="E16" s="793"/>
      <c r="F16" s="793"/>
      <c r="G16" s="793"/>
      <c r="H16" s="418">
        <f>+SUM(H18:H37)</f>
        <v>1126.2670184343342</v>
      </c>
      <c r="I16" s="427">
        <f>+SUM(I18:I37)</f>
        <v>1</v>
      </c>
      <c r="J16" s="428"/>
      <c r="K16" s="428"/>
    </row>
    <row r="17" spans="1:11" ht="17.25">
      <c r="A17" s="571" t="s">
        <v>11</v>
      </c>
      <c r="B17" s="415" t="s">
        <v>12</v>
      </c>
      <c r="C17" s="416"/>
      <c r="D17" s="416"/>
      <c r="E17" s="416"/>
      <c r="F17" s="416"/>
      <c r="G17" s="416"/>
      <c r="H17" s="416"/>
      <c r="I17" s="416"/>
      <c r="J17" s="416"/>
      <c r="K17" s="424"/>
    </row>
    <row r="18" spans="1:11" ht="39.75" customHeight="1">
      <c r="A18" s="413" t="s">
        <v>13</v>
      </c>
      <c r="B18" s="414" t="s">
        <v>450</v>
      </c>
      <c r="C18" s="413" t="s">
        <v>390</v>
      </c>
      <c r="D18" s="413">
        <v>3</v>
      </c>
      <c r="E18" s="413" t="s">
        <v>391</v>
      </c>
      <c r="F18" s="419">
        <v>4</v>
      </c>
      <c r="G18" s="420">
        <f>+SQRT(D18*F18)</f>
        <v>3.4641016151377544</v>
      </c>
      <c r="H18" s="418">
        <f>+'1.1.1 DO Máy phát điện'!$N$25</f>
        <v>0.95802775897500003</v>
      </c>
      <c r="I18" s="429">
        <f>+H18/$H$16</f>
        <v>8.5062222660731927E-4</v>
      </c>
      <c r="J18" s="428">
        <f t="shared" ref="J18:J27" si="0">G18*I18</f>
        <v>2.9466418290624878E-3</v>
      </c>
      <c r="K18" s="430">
        <f t="shared" ref="K18:K27" si="1">+J18^2/10^-4</f>
        <v>8.682698068780724E-2</v>
      </c>
    </row>
    <row r="19" spans="1:11" ht="49.5">
      <c r="A19" s="413" t="s">
        <v>18</v>
      </c>
      <c r="B19" s="414" t="s">
        <v>19</v>
      </c>
      <c r="C19" s="413" t="s">
        <v>392</v>
      </c>
      <c r="D19" s="413">
        <v>2</v>
      </c>
      <c r="E19" s="413" t="s">
        <v>391</v>
      </c>
      <c r="F19" s="419">
        <v>4</v>
      </c>
      <c r="G19" s="420">
        <f t="shared" ref="G19:G39" si="2">+SQRT(D19*F19)</f>
        <v>2.8284271247461903</v>
      </c>
      <c r="H19" s="418">
        <f>+'1.1.2 Gas LPG SX'!$N$25</f>
        <v>83.522361069311998</v>
      </c>
      <c r="I19" s="429">
        <f t="shared" ref="I19:I37" si="3">+H19/$H$16</f>
        <v>7.4158578474063416E-2</v>
      </c>
      <c r="J19" s="428">
        <f t="shared" si="0"/>
        <v>0.2097521348886599</v>
      </c>
      <c r="K19" s="430">
        <f t="shared" si="1"/>
        <v>439.95958090350575</v>
      </c>
    </row>
    <row r="20" spans="1:11" ht="49.5">
      <c r="A20" s="413" t="s">
        <v>20</v>
      </c>
      <c r="B20" s="414" t="s">
        <v>21</v>
      </c>
      <c r="C20" s="413" t="s">
        <v>392</v>
      </c>
      <c r="D20" s="413">
        <v>2</v>
      </c>
      <c r="E20" s="413" t="s">
        <v>391</v>
      </c>
      <c r="F20" s="419">
        <v>4</v>
      </c>
      <c r="G20" s="420">
        <f t="shared" si="2"/>
        <v>2.8284271247461903</v>
      </c>
      <c r="H20" s="418">
        <f>+'1.1.3 Gas LPG Nhà ăn'!$N$25</f>
        <v>6.2483810083200009</v>
      </c>
      <c r="I20" s="429">
        <f t="shared" si="3"/>
        <v>5.5478682284473783E-3</v>
      </c>
      <c r="J20" s="428">
        <f t="shared" si="0"/>
        <v>1.569174098185816E-2</v>
      </c>
      <c r="K20" s="430">
        <f t="shared" si="1"/>
        <v>2.4623073504172686</v>
      </c>
    </row>
    <row r="21" spans="1:11" ht="49.5">
      <c r="A21" s="413" t="s">
        <v>22</v>
      </c>
      <c r="B21" s="414" t="s">
        <v>23</v>
      </c>
      <c r="C21" s="413" t="s">
        <v>392</v>
      </c>
      <c r="D21" s="413">
        <v>2</v>
      </c>
      <c r="E21" s="413" t="s">
        <v>394</v>
      </c>
      <c r="F21" s="419">
        <v>1</v>
      </c>
      <c r="G21" s="420">
        <f t="shared" si="2"/>
        <v>1.4142135623730951</v>
      </c>
      <c r="H21" s="418">
        <f>+'1.1.4 Methanol'!$F$25</f>
        <v>0.27500000000000002</v>
      </c>
      <c r="I21" s="429">
        <f t="shared" si="3"/>
        <v>2.4416945138133208E-4</v>
      </c>
      <c r="J21" s="428">
        <f t="shared" si="0"/>
        <v>3.4530774966067787E-4</v>
      </c>
      <c r="K21" s="430">
        <f t="shared" si="1"/>
        <v>1.1923744197572137E-3</v>
      </c>
    </row>
    <row r="22" spans="1:11" ht="33">
      <c r="A22" s="413" t="s">
        <v>25</v>
      </c>
      <c r="B22" s="414" t="s">
        <v>1100</v>
      </c>
      <c r="C22" s="413" t="s">
        <v>390</v>
      </c>
      <c r="D22" s="413">
        <v>3</v>
      </c>
      <c r="E22" s="413" t="s">
        <v>391</v>
      </c>
      <c r="F22" s="419">
        <v>3</v>
      </c>
      <c r="G22" s="420">
        <f t="shared" si="2"/>
        <v>3</v>
      </c>
      <c r="H22" s="418">
        <f>+'1.1.5 Xăng MCC '!$N$25</f>
        <v>0.3475188873792</v>
      </c>
      <c r="I22" s="429">
        <f t="shared" si="3"/>
        <v>3.0855816754920071E-4</v>
      </c>
      <c r="J22" s="428">
        <f t="shared" si="0"/>
        <v>9.2567450264760217E-4</v>
      </c>
      <c r="K22" s="430">
        <f t="shared" si="1"/>
        <v>8.5687328485188567E-3</v>
      </c>
    </row>
    <row r="23" spans="1:11" ht="49.5">
      <c r="A23" s="413" t="s">
        <v>27</v>
      </c>
      <c r="B23" s="414" t="s">
        <v>346</v>
      </c>
      <c r="C23" s="413" t="s">
        <v>392</v>
      </c>
      <c r="D23" s="413">
        <v>2</v>
      </c>
      <c r="E23" s="413" t="s">
        <v>391</v>
      </c>
      <c r="F23" s="419">
        <v>4</v>
      </c>
      <c r="G23" s="420">
        <f t="shared" si="2"/>
        <v>2.8284271247461903</v>
      </c>
      <c r="H23" s="418">
        <f>+'1.1.6 Dầu hỏa'!$O$25</f>
        <v>512.57315771719504</v>
      </c>
      <c r="I23" s="429">
        <f t="shared" si="3"/>
        <v>0.45510802440947096</v>
      </c>
      <c r="J23" s="428">
        <f t="shared" si="0"/>
        <v>1.287239880929399</v>
      </c>
      <c r="K23" s="430">
        <f t="shared" si="1"/>
        <v>16569.865110551335</v>
      </c>
    </row>
    <row r="24" spans="1:11" ht="49.5">
      <c r="A24" s="413" t="s">
        <v>29</v>
      </c>
      <c r="B24" s="414" t="s">
        <v>30</v>
      </c>
      <c r="C24" s="413" t="s">
        <v>392</v>
      </c>
      <c r="D24" s="413">
        <v>2</v>
      </c>
      <c r="E24" s="413" t="s">
        <v>394</v>
      </c>
      <c r="F24" s="419">
        <v>1</v>
      </c>
      <c r="G24" s="420">
        <f t="shared" si="2"/>
        <v>1.4142135623730951</v>
      </c>
      <c r="H24" s="418">
        <f>+'1.1.7 Nước thủy tinh'!$F$25</f>
        <v>1.094552</v>
      </c>
      <c r="I24" s="429">
        <f t="shared" si="3"/>
        <v>9.7184058672123558E-4</v>
      </c>
      <c r="J24" s="428">
        <f t="shared" si="0"/>
        <v>1.3743901382057976E-3</v>
      </c>
      <c r="K24" s="430">
        <f t="shared" si="1"/>
        <v>1.8889482519973511E-2</v>
      </c>
    </row>
    <row r="25" spans="1:11" ht="49.5">
      <c r="A25" s="413" t="s">
        <v>31</v>
      </c>
      <c r="B25" s="414" t="s">
        <v>347</v>
      </c>
      <c r="C25" s="413" t="s">
        <v>392</v>
      </c>
      <c r="D25" s="413">
        <v>2</v>
      </c>
      <c r="E25" s="413" t="s">
        <v>394</v>
      </c>
      <c r="F25" s="419">
        <v>1</v>
      </c>
      <c r="G25" s="420">
        <f t="shared" si="2"/>
        <v>1.4142135623730951</v>
      </c>
      <c r="H25" s="418">
        <f>+'1.1.8.Sơn lõi khuôn BR-750'!$S$26+'1.1.8. Sơn lõi KOALIDPASTE94i'!$Q$26</f>
        <v>9.9407864999999997</v>
      </c>
      <c r="I25" s="429">
        <f t="shared" si="3"/>
        <v>8.8263141309234631E-3</v>
      </c>
      <c r="J25" s="428">
        <f t="shared" si="0"/>
        <v>1.248229314971726E-2</v>
      </c>
      <c r="K25" s="430">
        <f t="shared" si="1"/>
        <v>1.5580764227547843</v>
      </c>
    </row>
    <row r="26" spans="1:11" ht="49.5">
      <c r="A26" s="413" t="s">
        <v>33</v>
      </c>
      <c r="B26" s="414" t="s">
        <v>36</v>
      </c>
      <c r="C26" s="413" t="s">
        <v>392</v>
      </c>
      <c r="D26" s="413">
        <v>2</v>
      </c>
      <c r="E26" s="413" t="s">
        <v>394</v>
      </c>
      <c r="F26" s="419">
        <v>1</v>
      </c>
      <c r="G26" s="420">
        <f t="shared" si="2"/>
        <v>1.4142135623730951</v>
      </c>
      <c r="H26" s="418">
        <f>+'1.1.9 Cồn Công nghiệp'!$G$25</f>
        <v>59.016019392000004</v>
      </c>
      <c r="I26" s="429">
        <f t="shared" si="3"/>
        <v>5.2399669373289805E-2</v>
      </c>
      <c r="J26" s="428">
        <f t="shared" si="0"/>
        <v>7.4104323091572541E-2</v>
      </c>
      <c r="K26" s="430">
        <f t="shared" si="1"/>
        <v>54.91450700860171</v>
      </c>
    </row>
    <row r="27" spans="1:11" ht="49.5">
      <c r="A27" s="413" t="s">
        <v>35</v>
      </c>
      <c r="B27" s="414" t="s">
        <v>349</v>
      </c>
      <c r="C27" s="413" t="s">
        <v>392</v>
      </c>
      <c r="D27" s="413">
        <v>2</v>
      </c>
      <c r="E27" s="413" t="s">
        <v>394</v>
      </c>
      <c r="F27" s="419">
        <v>1</v>
      </c>
      <c r="G27" s="420">
        <f t="shared" si="2"/>
        <v>1.4142135623730951</v>
      </c>
      <c r="H27" s="418">
        <f>+'1.1.10. CO2 kết dính thao'!$J$22</f>
        <v>118.25098300000001</v>
      </c>
      <c r="I27" s="429">
        <f t="shared" si="3"/>
        <v>0.10499373688877538</v>
      </c>
      <c r="J27" s="428">
        <f t="shared" si="0"/>
        <v>0.14848356667233847</v>
      </c>
      <c r="K27" s="430">
        <f t="shared" si="1"/>
        <v>220.47369571738784</v>
      </c>
    </row>
    <row r="28" spans="1:11" ht="27" customHeight="1">
      <c r="A28" s="571" t="s">
        <v>39</v>
      </c>
      <c r="B28" s="421" t="s">
        <v>350</v>
      </c>
      <c r="C28" s="416"/>
      <c r="D28" s="416"/>
      <c r="E28" s="416"/>
      <c r="F28" s="416"/>
      <c r="G28" s="416"/>
      <c r="H28" s="416"/>
      <c r="I28" s="416"/>
      <c r="J28" s="416"/>
      <c r="K28" s="424"/>
    </row>
    <row r="29" spans="1:11" ht="63" customHeight="1">
      <c r="A29" s="413" t="s">
        <v>41</v>
      </c>
      <c r="B29" s="414" t="s">
        <v>351</v>
      </c>
      <c r="C29" s="413" t="s">
        <v>392</v>
      </c>
      <c r="D29" s="413">
        <v>2</v>
      </c>
      <c r="E29" s="413" t="s">
        <v>391</v>
      </c>
      <c r="F29" s="419">
        <v>4</v>
      </c>
      <c r="G29" s="420">
        <f t="shared" si="2"/>
        <v>2.8284271247461903</v>
      </c>
      <c r="H29" s="418">
        <f>+'1.2.1 DO Xe nângNB Offroad'!$N$25</f>
        <v>45.515835509142605</v>
      </c>
      <c r="I29" s="429">
        <f t="shared" si="3"/>
        <v>4.0413005765201106E-2</v>
      </c>
      <c r="J29" s="428">
        <f>G29*I29</f>
        <v>0.11430524169881898</v>
      </c>
      <c r="K29" s="430">
        <f>+J29^2/10^-4</f>
        <v>130.65688279825423</v>
      </c>
    </row>
    <row r="30" spans="1:11" ht="55.5" hidden="1" customHeight="1">
      <c r="A30" s="413" t="s">
        <v>43</v>
      </c>
      <c r="B30" s="414" t="s">
        <v>26</v>
      </c>
      <c r="C30" s="413" t="s">
        <v>392</v>
      </c>
      <c r="D30" s="413">
        <v>2</v>
      </c>
      <c r="E30" s="413" t="s">
        <v>391</v>
      </c>
      <c r="F30" s="419">
        <v>4</v>
      </c>
      <c r="G30" s="420">
        <f t="shared" si="2"/>
        <v>2.8284271247461903</v>
      </c>
      <c r="H30" s="420"/>
      <c r="I30" s="429">
        <f t="shared" si="3"/>
        <v>0</v>
      </c>
      <c r="J30" s="428">
        <f>G30*I30</f>
        <v>0</v>
      </c>
      <c r="K30" s="430">
        <f>+J30^2/10^-4</f>
        <v>0</v>
      </c>
    </row>
    <row r="31" spans="1:11" ht="49.5">
      <c r="A31" s="413" t="s">
        <v>43</v>
      </c>
      <c r="B31" s="414" t="s">
        <v>353</v>
      </c>
      <c r="C31" s="413" t="s">
        <v>392</v>
      </c>
      <c r="D31" s="413">
        <v>2</v>
      </c>
      <c r="E31" s="413" t="s">
        <v>391</v>
      </c>
      <c r="F31" s="419">
        <v>4</v>
      </c>
      <c r="G31" s="420">
        <f t="shared" si="2"/>
        <v>2.8284271247461903</v>
      </c>
      <c r="H31" s="418">
        <f>'1.2.2 DOXevậntảiBNOnroad'!N25</f>
        <v>237.40165458565917</v>
      </c>
      <c r="I31" s="429">
        <f t="shared" si="3"/>
        <v>0.21078629729891235</v>
      </c>
      <c r="J31" s="428">
        <f t="shared" ref="J31:J37" si="4">G31*I31</f>
        <v>0.5961936808050583</v>
      </c>
      <c r="K31" s="430">
        <f t="shared" ref="K31:K37" si="5">+J31^2/10^-4</f>
        <v>3554.4690503188372</v>
      </c>
    </row>
    <row r="32" spans="1:11" ht="49.5">
      <c r="A32" s="413" t="s">
        <v>355</v>
      </c>
      <c r="B32" s="414" t="s">
        <v>356</v>
      </c>
      <c r="C32" s="413" t="s">
        <v>392</v>
      </c>
      <c r="D32" s="413">
        <v>2</v>
      </c>
      <c r="E32" s="413" t="s">
        <v>391</v>
      </c>
      <c r="F32" s="419">
        <v>4</v>
      </c>
      <c r="G32" s="420">
        <f t="shared" si="2"/>
        <v>2.8284271247461903</v>
      </c>
      <c r="H32" s="418">
        <f>+'1.2.3 Xăng Xe Onroad'!$N$25</f>
        <v>11.86119048449418</v>
      </c>
      <c r="I32" s="429">
        <f t="shared" si="3"/>
        <v>1.0531419539376074E-2</v>
      </c>
      <c r="J32" s="428">
        <f t="shared" si="4"/>
        <v>2.9787352687253316E-2</v>
      </c>
      <c r="K32" s="430">
        <f t="shared" si="5"/>
        <v>8.8728638011481742</v>
      </c>
    </row>
    <row r="33" spans="1:11" ht="34.5" customHeight="1">
      <c r="A33" s="412" t="s">
        <v>44</v>
      </c>
      <c r="B33" s="593" t="s">
        <v>357</v>
      </c>
      <c r="C33" s="413"/>
      <c r="D33" s="413"/>
      <c r="E33" s="413"/>
      <c r="F33" s="419"/>
      <c r="G33" s="420"/>
      <c r="H33" s="418"/>
      <c r="I33" s="429"/>
      <c r="J33" s="428"/>
      <c r="K33" s="430"/>
    </row>
    <row r="34" spans="1:11" ht="33">
      <c r="A34" s="413" t="s">
        <v>46</v>
      </c>
      <c r="B34" s="414" t="s">
        <v>49</v>
      </c>
      <c r="C34" s="413" t="s">
        <v>390</v>
      </c>
      <c r="D34" s="413">
        <v>3</v>
      </c>
      <c r="E34" s="413" t="s">
        <v>403</v>
      </c>
      <c r="F34" s="419">
        <v>3</v>
      </c>
      <c r="G34" s="420">
        <f t="shared" si="2"/>
        <v>3</v>
      </c>
      <c r="H34" s="418">
        <f>+'1.3.1. Bình chữacháyCO2'!$G$22</f>
        <v>7.3999999999999995E-3</v>
      </c>
      <c r="I34" s="429">
        <f t="shared" si="3"/>
        <v>6.5703779644431167E-6</v>
      </c>
      <c r="J34" s="428">
        <f t="shared" si="4"/>
        <v>1.9711133893329351E-5</v>
      </c>
      <c r="K34" s="430">
        <f t="shared" si="5"/>
        <v>3.8852879936075706E-6</v>
      </c>
    </row>
    <row r="35" spans="1:11" ht="33">
      <c r="A35" s="413" t="s">
        <v>47</v>
      </c>
      <c r="B35" s="414" t="s">
        <v>52</v>
      </c>
      <c r="C35" s="413" t="s">
        <v>390</v>
      </c>
      <c r="D35" s="413">
        <v>3</v>
      </c>
      <c r="E35" s="413" t="s">
        <v>404</v>
      </c>
      <c r="F35" s="419">
        <v>4</v>
      </c>
      <c r="G35" s="420">
        <f t="shared" si="2"/>
        <v>3.4641016151377544</v>
      </c>
      <c r="H35" s="420">
        <f>+'1.3.2.Môi chất lạnh'!$T$60</f>
        <v>12.593820000000001</v>
      </c>
      <c r="I35" s="429">
        <f t="shared" si="3"/>
        <v>1.1181913164346356E-2</v>
      </c>
      <c r="J35" s="428">
        <f t="shared" si="4"/>
        <v>3.8735283452942332E-2</v>
      </c>
      <c r="K35" s="430">
        <f t="shared" si="5"/>
        <v>15.004221841797879</v>
      </c>
    </row>
    <row r="36" spans="1:11" ht="49.5">
      <c r="A36" s="413" t="s">
        <v>358</v>
      </c>
      <c r="B36" s="414" t="s">
        <v>55</v>
      </c>
      <c r="C36" s="413" t="s">
        <v>392</v>
      </c>
      <c r="D36" s="413">
        <v>2</v>
      </c>
      <c r="E36" s="413" t="s">
        <v>405</v>
      </c>
      <c r="F36" s="419">
        <v>4</v>
      </c>
      <c r="G36" s="420">
        <f t="shared" si="2"/>
        <v>2.8284271247461903</v>
      </c>
      <c r="H36" s="420">
        <f>+'1.3.3 BỂ XỬ LÝ NƯỚC THẢI TT '!$K$25+'1.3.3 BỂ XỬ LÝ NƯỚC THẢI TT '!$Q$44+'1.3.3 BỂ XL NƯỚC THẢI TT'!$J$23</f>
        <v>26.604560521857039</v>
      </c>
      <c r="I36" s="429">
        <f t="shared" si="3"/>
        <v>2.3621894352230104E-2</v>
      </c>
      <c r="J36" s="428">
        <f t="shared" si="4"/>
        <v>6.6812806723736462E-2</v>
      </c>
      <c r="K36" s="430">
        <f t="shared" si="5"/>
        <v>44.639511423033639</v>
      </c>
    </row>
    <row r="37" spans="1:11" ht="33">
      <c r="A37" s="572" t="s">
        <v>359</v>
      </c>
      <c r="B37" s="414" t="s">
        <v>57</v>
      </c>
      <c r="C37" s="413" t="s">
        <v>406</v>
      </c>
      <c r="D37" s="413">
        <v>3</v>
      </c>
      <c r="E37" s="413" t="s">
        <v>405</v>
      </c>
      <c r="F37" s="419">
        <v>6</v>
      </c>
      <c r="G37" s="420">
        <f t="shared" si="2"/>
        <v>4.2426406871192848</v>
      </c>
      <c r="H37" s="420">
        <f>+'1.3.4 Phân bón'!$H$26</f>
        <v>5.5769999999999952E-2</v>
      </c>
      <c r="I37" s="429">
        <f t="shared" si="3"/>
        <v>4.9517564740134099E-5</v>
      </c>
      <c r="J37" s="428">
        <f t="shared" si="4"/>
        <v>2.100852348935562E-4</v>
      </c>
      <c r="K37" s="430">
        <f t="shared" si="5"/>
        <v>4.4135805920280681E-4</v>
      </c>
    </row>
    <row r="38" spans="1:11" ht="25.5" customHeight="1">
      <c r="A38" s="571" t="s">
        <v>61</v>
      </c>
      <c r="B38" s="421" t="s">
        <v>62</v>
      </c>
      <c r="C38" s="416"/>
      <c r="D38" s="416"/>
      <c r="E38" s="416"/>
      <c r="F38" s="416"/>
      <c r="G38" s="416"/>
      <c r="H38" s="416"/>
      <c r="I38" s="416"/>
      <c r="J38" s="416"/>
      <c r="K38" s="424"/>
    </row>
    <row r="39" spans="1:11" ht="49.5">
      <c r="A39" s="413" t="s">
        <v>63</v>
      </c>
      <c r="B39" s="414" t="s">
        <v>1145</v>
      </c>
      <c r="C39" s="413" t="s">
        <v>408</v>
      </c>
      <c r="D39" s="413">
        <v>1</v>
      </c>
      <c r="E39" s="413" t="s">
        <v>409</v>
      </c>
      <c r="F39" s="419">
        <v>3</v>
      </c>
      <c r="G39" s="420">
        <f t="shared" si="2"/>
        <v>1.7320508075688772</v>
      </c>
      <c r="H39" s="420">
        <f>+'2.1. MUA ĐIỆN NGOÀI '!$H$23</f>
        <v>15779.499516184856</v>
      </c>
      <c r="I39" s="429">
        <f>+H39/$H$40</f>
        <v>1</v>
      </c>
      <c r="J39" s="428">
        <f>G39*I39</f>
        <v>1.7320508075688772</v>
      </c>
      <c r="K39" s="430">
        <f>+J39^2/10^-4</f>
        <v>29999.999999999993</v>
      </c>
    </row>
    <row r="40" spans="1:11" ht="17.25">
      <c r="A40" s="793" t="s">
        <v>410</v>
      </c>
      <c r="B40" s="793"/>
      <c r="C40" s="793"/>
      <c r="D40" s="793"/>
      <c r="E40" s="793"/>
      <c r="F40" s="793"/>
      <c r="G40" s="793"/>
      <c r="H40" s="420">
        <f>+H39</f>
        <v>15779.499516184856</v>
      </c>
      <c r="I40" s="431">
        <f>+I39</f>
        <v>1</v>
      </c>
      <c r="J40" s="428"/>
      <c r="K40" s="428"/>
    </row>
    <row r="41" spans="1:11" ht="17.25">
      <c r="A41" s="786" t="s">
        <v>436</v>
      </c>
      <c r="B41" s="787"/>
      <c r="C41" s="787"/>
      <c r="D41" s="787"/>
      <c r="E41" s="787"/>
      <c r="F41" s="787"/>
      <c r="G41" s="787"/>
      <c r="H41" s="787"/>
      <c r="I41" s="787"/>
      <c r="J41" s="816"/>
      <c r="K41" s="425">
        <f>10^-2*SQRT(SUM(K39))</f>
        <v>1.732050807568877</v>
      </c>
    </row>
    <row r="42" spans="1:11" ht="17.25">
      <c r="A42" s="789" t="s">
        <v>412</v>
      </c>
      <c r="B42" s="817"/>
      <c r="C42" s="817"/>
      <c r="D42" s="817"/>
      <c r="E42" s="817"/>
      <c r="F42" s="817"/>
      <c r="G42" s="817"/>
      <c r="H42" s="817"/>
      <c r="I42" s="817"/>
      <c r="J42" s="818"/>
      <c r="K42" s="432" t="str">
        <f>IF(K41&gt;4,"Level E",IF(K41&gt;3,"Level D",IF(K41&gt;2,"Level C",IF(K41&gt;1,"Level B","Level A"))))</f>
        <v>Level B</v>
      </c>
    </row>
    <row r="43" spans="1:11" ht="17.25">
      <c r="A43" s="417"/>
      <c r="B43" s="417"/>
      <c r="C43" s="417"/>
      <c r="D43" s="417"/>
      <c r="E43" s="417"/>
      <c r="F43" s="417"/>
      <c r="G43" s="417"/>
      <c r="H43" s="417"/>
      <c r="I43" s="417"/>
      <c r="J43" s="417"/>
      <c r="K43" s="433"/>
    </row>
    <row r="45" spans="1:11" ht="17.25">
      <c r="A45" s="422"/>
      <c r="E45" s="412" t="s">
        <v>413</v>
      </c>
      <c r="F45" s="412" t="s">
        <v>414</v>
      </c>
      <c r="G45" s="790" t="s">
        <v>415</v>
      </c>
      <c r="H45" s="790"/>
      <c r="I45" s="434"/>
      <c r="J45" s="434"/>
      <c r="K45" s="422"/>
    </row>
    <row r="46" spans="1:11" ht="16.5">
      <c r="A46" s="422"/>
      <c r="E46" s="419" t="s">
        <v>416</v>
      </c>
      <c r="F46" s="419" t="s">
        <v>417</v>
      </c>
      <c r="G46" s="781" t="s">
        <v>418</v>
      </c>
      <c r="H46" s="781"/>
      <c r="I46" s="434"/>
      <c r="J46" s="434"/>
      <c r="K46" s="422"/>
    </row>
    <row r="47" spans="1:11" ht="16.5">
      <c r="A47" s="422"/>
      <c r="E47" s="419" t="s">
        <v>419</v>
      </c>
      <c r="F47" s="419" t="s">
        <v>420</v>
      </c>
      <c r="G47" s="781" t="s">
        <v>421</v>
      </c>
      <c r="H47" s="781"/>
      <c r="I47" s="434"/>
      <c r="J47" s="434"/>
      <c r="K47" s="422"/>
    </row>
    <row r="48" spans="1:11" ht="16.5">
      <c r="A48" s="422"/>
      <c r="E48" s="419" t="s">
        <v>422</v>
      </c>
      <c r="F48" s="419" t="s">
        <v>423</v>
      </c>
      <c r="G48" s="781" t="s">
        <v>424</v>
      </c>
      <c r="H48" s="781"/>
      <c r="I48" s="434"/>
      <c r="J48" s="434"/>
      <c r="K48" s="422"/>
    </row>
    <row r="49" spans="1:11" ht="16.5">
      <c r="A49" s="422"/>
      <c r="E49" s="419" t="s">
        <v>425</v>
      </c>
      <c r="F49" s="419" t="s">
        <v>426</v>
      </c>
      <c r="G49" s="781" t="s">
        <v>427</v>
      </c>
      <c r="H49" s="781"/>
      <c r="I49" s="434"/>
      <c r="J49" s="434"/>
      <c r="K49" s="422"/>
    </row>
    <row r="50" spans="1:11" ht="16.5">
      <c r="A50" s="422"/>
      <c r="E50" s="419" t="s">
        <v>428</v>
      </c>
      <c r="F50" s="419" t="s">
        <v>429</v>
      </c>
      <c r="G50" s="781" t="s">
        <v>430</v>
      </c>
      <c r="H50" s="782"/>
      <c r="I50" s="434"/>
      <c r="J50" s="434"/>
      <c r="K50" s="422"/>
    </row>
  </sheetData>
  <mergeCells count="33">
    <mergeCell ref="B1:H1"/>
    <mergeCell ref="I1:K1"/>
    <mergeCell ref="A2:J2"/>
    <mergeCell ref="A3:C3"/>
    <mergeCell ref="F3:J3"/>
    <mergeCell ref="A6:B7"/>
    <mergeCell ref="A4:B4"/>
    <mergeCell ref="F4:I4"/>
    <mergeCell ref="A5:B5"/>
    <mergeCell ref="F5:I5"/>
    <mergeCell ref="F6:I6"/>
    <mergeCell ref="A8:B8"/>
    <mergeCell ref="F8:I8"/>
    <mergeCell ref="F9:I9"/>
    <mergeCell ref="D10:E10"/>
    <mergeCell ref="F10:I10"/>
    <mergeCell ref="A9:B10"/>
    <mergeCell ref="G48:H48"/>
    <mergeCell ref="G49:H49"/>
    <mergeCell ref="G50:H50"/>
    <mergeCell ref="C6:C7"/>
    <mergeCell ref="C9:C10"/>
    <mergeCell ref="A41:J41"/>
    <mergeCell ref="A42:J42"/>
    <mergeCell ref="G45:H45"/>
    <mergeCell ref="G46:H46"/>
    <mergeCell ref="G47:H47"/>
    <mergeCell ref="A11:K11"/>
    <mergeCell ref="A14:J14"/>
    <mergeCell ref="A15:J15"/>
    <mergeCell ref="A16:G16"/>
    <mergeCell ref="A40:G40"/>
    <mergeCell ref="F7:I7"/>
  </mergeCells>
  <pageMargins left="0.70866141732283505" right="0.70866141732283505" top="0.74803149606299202" bottom="0.74803149606299202" header="0.31496062992126" footer="0.31496062992126"/>
  <pageSetup scale="50" fitToHeight="0" orientation="landscape" r:id="rId1"/>
  <rowBreaks count="1" manualBreakCount="1">
    <brk id="43"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37"/>
  <sheetViews>
    <sheetView topLeftCell="A13" zoomScale="70" zoomScaleNormal="70" workbookViewId="0">
      <selection activeCell="I22" sqref="I22"/>
    </sheetView>
  </sheetViews>
  <sheetFormatPr defaultColWidth="9.28515625" defaultRowHeight="28.5" customHeight="1"/>
  <cols>
    <col min="1" max="1" width="11.140625" style="351" customWidth="1"/>
    <col min="2" max="2" width="40.7109375" style="351" customWidth="1"/>
    <col min="3" max="3" width="18.28515625" style="351" customWidth="1"/>
    <col min="4" max="6" width="14.42578125" style="351" customWidth="1"/>
    <col min="7" max="7" width="20" style="352" customWidth="1"/>
    <col min="8" max="8" width="24" style="351" customWidth="1"/>
    <col min="9" max="9" width="14.28515625" style="353" customWidth="1"/>
    <col min="10" max="11" width="11.7109375" style="351" customWidth="1"/>
    <col min="12" max="14" width="9.28515625" style="351"/>
    <col min="15" max="15" width="12.7109375" style="351" customWidth="1"/>
    <col min="16" max="16" width="16.7109375" style="351" customWidth="1"/>
    <col min="17" max="16384" width="9.28515625" style="351"/>
  </cols>
  <sheetData>
    <row r="1" spans="1:13" ht="28.5" customHeight="1">
      <c r="A1" s="839"/>
      <c r="B1" s="840"/>
      <c r="C1" s="847" t="s">
        <v>438</v>
      </c>
      <c r="D1" s="847"/>
      <c r="E1" s="847"/>
      <c r="F1" s="847"/>
      <c r="G1" s="843" t="s">
        <v>439</v>
      </c>
      <c r="H1" s="844"/>
    </row>
    <row r="2" spans="1:13" ht="28.5" customHeight="1">
      <c r="A2" s="841"/>
      <c r="B2" s="842"/>
      <c r="C2" s="848"/>
      <c r="D2" s="848"/>
      <c r="E2" s="848"/>
      <c r="F2" s="848"/>
      <c r="G2" s="845"/>
      <c r="H2" s="846"/>
    </row>
    <row r="3" spans="1:13" ht="59.25" customHeight="1">
      <c r="A3" s="849" t="s">
        <v>440</v>
      </c>
      <c r="B3" s="850"/>
      <c r="C3" s="851" t="s">
        <v>441</v>
      </c>
      <c r="D3" s="852"/>
      <c r="E3" s="852"/>
      <c r="F3" s="850"/>
      <c r="G3" s="389" t="s">
        <v>442</v>
      </c>
      <c r="H3" s="390" t="s">
        <v>443</v>
      </c>
    </row>
    <row r="4" spans="1:13" s="366" customFormat="1" ht="42.75" customHeight="1">
      <c r="A4" s="856" t="s">
        <v>9</v>
      </c>
      <c r="B4" s="391" t="s">
        <v>444</v>
      </c>
      <c r="C4" s="391" t="s">
        <v>24</v>
      </c>
      <c r="D4" s="391" t="s">
        <v>445</v>
      </c>
      <c r="E4" s="391" t="s">
        <v>446</v>
      </c>
      <c r="F4" s="391" t="s">
        <v>447</v>
      </c>
      <c r="G4" s="389" t="e">
        <f>+SUM(G7:G28)</f>
        <v>#REF!</v>
      </c>
      <c r="H4" s="392" t="e">
        <f>G4/$G$31*100</f>
        <v>#REF!</v>
      </c>
      <c r="I4" s="378"/>
    </row>
    <row r="5" spans="1:13" s="366" customFormat="1" ht="28.5" customHeight="1">
      <c r="A5" s="857"/>
      <c r="B5" s="388" t="s">
        <v>448</v>
      </c>
      <c r="C5" s="393" t="e">
        <f>+SUM(C8:C18)+C20+SUM(C23:C28)</f>
        <v>#REF!</v>
      </c>
      <c r="D5" s="393" t="e">
        <f>+SUM(D8:D18)+D20+SUM(D23:D28)</f>
        <v>#REF!</v>
      </c>
      <c r="E5" s="393" t="e">
        <f>+SUM(E8:E18)+E20+SUM(E23:E28)</f>
        <v>#REF!</v>
      </c>
      <c r="F5" s="393">
        <f>+SUM(F8:F18)+F20+SUM(F23:F28)</f>
        <v>12.593820000000001</v>
      </c>
      <c r="G5" s="389"/>
      <c r="H5" s="394"/>
      <c r="I5" s="378"/>
    </row>
    <row r="6" spans="1:13" s="366" customFormat="1" ht="28.5" customHeight="1">
      <c r="A6" s="858"/>
      <c r="B6" s="388" t="s">
        <v>449</v>
      </c>
      <c r="C6" s="395" t="e">
        <f>+C5/$G$4</f>
        <v>#REF!</v>
      </c>
      <c r="D6" s="395" t="e">
        <f>+D5/$G$4</f>
        <v>#REF!</v>
      </c>
      <c r="E6" s="395" t="e">
        <f>+E5/$G$4</f>
        <v>#REF!</v>
      </c>
      <c r="F6" s="395" t="e">
        <f>+F5/$G$4</f>
        <v>#REF!</v>
      </c>
      <c r="G6" s="389"/>
      <c r="H6" s="394"/>
      <c r="I6" s="378"/>
    </row>
    <row r="7" spans="1:13" s="237" customFormat="1" ht="30" customHeight="1">
      <c r="A7" s="355" t="s">
        <v>11</v>
      </c>
      <c r="B7" s="356" t="s">
        <v>12</v>
      </c>
      <c r="C7" s="396" t="e">
        <f>+C8+C9+C11+C13+C14+C15+C16+C18+C17</f>
        <v>#REF!</v>
      </c>
      <c r="D7" s="396">
        <f>+D8+D9+D11+D13+D14+D15+D16+D18+D17</f>
        <v>0.63262421275139991</v>
      </c>
      <c r="E7" s="396">
        <f>+E8+E9+E11+E13+E14+E15+E16+E18+E17</f>
        <v>1.2019347009305998</v>
      </c>
      <c r="F7" s="357"/>
      <c r="G7" s="396"/>
      <c r="H7" s="361"/>
      <c r="I7" s="353"/>
    </row>
    <row r="8" spans="1:13" s="237" customFormat="1" ht="30" customHeight="1">
      <c r="A8" s="397" t="s">
        <v>13</v>
      </c>
      <c r="B8" s="398" t="s">
        <v>450</v>
      </c>
      <c r="C8" s="360">
        <f>+'1.1.1 DO Máy phát điện'!$I$26</f>
        <v>0.954838521</v>
      </c>
      <c r="D8" s="360">
        <f>+'1.1.1 DO Máy phát điện'!$J$26</f>
        <v>1.0785422969999999E-3</v>
      </c>
      <c r="E8" s="360">
        <f>+'1.1.1 DO Máy phát điện'!$K$26</f>
        <v>2.110695678E-3</v>
      </c>
      <c r="F8" s="360"/>
      <c r="G8" s="399">
        <f>+'1.1.1 DO Máy phát điện'!$N$25</f>
        <v>0.95802775897500003</v>
      </c>
      <c r="H8" s="400" t="e">
        <f>G8/$G$31</f>
        <v>#REF!</v>
      </c>
      <c r="I8" s="353"/>
    </row>
    <row r="9" spans="1:13" s="237" customFormat="1" ht="30" customHeight="1">
      <c r="A9" s="397" t="s">
        <v>18</v>
      </c>
      <c r="B9" s="398" t="s">
        <v>19</v>
      </c>
      <c r="C9" s="360">
        <f>+'1.1.2 Gas LPG SX'!$I$26</f>
        <v>83.449359411000003</v>
      </c>
      <c r="D9" s="360">
        <f>+'1.1.2 Gas LPG SX'!$J$26</f>
        <v>3.6897577298999999E-2</v>
      </c>
      <c r="E9" s="360">
        <f>+'1.1.2 Gas LPG SX'!$K$26</f>
        <v>3.6104081013E-2</v>
      </c>
      <c r="F9" s="360"/>
      <c r="G9" s="399">
        <f>+'1.1.2 Gas LPG SX'!$N$25</f>
        <v>83.522361069311998</v>
      </c>
      <c r="H9" s="400" t="e">
        <f t="shared" ref="H9:H30" si="0">G9/$G$31</f>
        <v>#REF!</v>
      </c>
      <c r="I9" s="353"/>
    </row>
    <row r="10" spans="1:13" s="237" customFormat="1" ht="30" customHeight="1">
      <c r="A10" s="397" t="s">
        <v>20</v>
      </c>
      <c r="B10" s="398" t="s">
        <v>21</v>
      </c>
      <c r="C10" s="360">
        <f>+'1.1.3 Gas LPG Nhà ăn'!$I$26</f>
        <v>6.2319074399999996</v>
      </c>
      <c r="D10" s="360">
        <f>+'1.1.3 Gas LPG Nhà ăn'!$J$26</f>
        <v>1.3777354799999997E-2</v>
      </c>
      <c r="E10" s="360">
        <f>+'1.1.3 Gas LPG Nhà ăn'!$K$26</f>
        <v>2.6962135199999999E-3</v>
      </c>
      <c r="F10" s="360"/>
      <c r="G10" s="399">
        <f>+'1.1.3 Gas LPG Nhà ăn'!$N$25</f>
        <v>6.2483810083200009</v>
      </c>
      <c r="H10" s="400" t="e">
        <f t="shared" si="0"/>
        <v>#REF!</v>
      </c>
      <c r="I10" s="379"/>
      <c r="J10" s="379"/>
      <c r="K10" s="379"/>
      <c r="M10" s="380"/>
    </row>
    <row r="11" spans="1:13" s="237" customFormat="1" ht="30" customHeight="1">
      <c r="A11" s="397" t="s">
        <v>25</v>
      </c>
      <c r="B11" s="398" t="s">
        <v>23</v>
      </c>
      <c r="C11" s="360">
        <f>+'1.1.4 Methanol'!$F$25</f>
        <v>0.27500000000000002</v>
      </c>
      <c r="D11" s="360"/>
      <c r="E11" s="360"/>
      <c r="F11" s="360"/>
      <c r="G11" s="399">
        <f>+'1.1.4 Methanol'!$F$25</f>
        <v>0.27500000000000002</v>
      </c>
      <c r="H11" s="400" t="e">
        <f t="shared" si="0"/>
        <v>#REF!</v>
      </c>
      <c r="I11" s="353"/>
    </row>
    <row r="12" spans="1:13" s="237" customFormat="1" ht="42" customHeight="1">
      <c r="A12" s="397" t="s">
        <v>27</v>
      </c>
      <c r="B12" s="398" t="s">
        <v>451</v>
      </c>
      <c r="C12" s="360">
        <f>+'1.1.5 Xăng MCC '!$I$26</f>
        <v>0.34531247519999997</v>
      </c>
      <c r="D12" s="360">
        <f>+'1.1.5 Xăng MCC '!$J$26</f>
        <v>1.3902190559999998E-3</v>
      </c>
      <c r="E12" s="360">
        <f>+'1.1.5 Xăng MCC '!$K$26</f>
        <v>8.161931232E-4</v>
      </c>
      <c r="F12" s="360"/>
      <c r="G12" s="399">
        <f>+'1.1.5 Xăng MCC '!$N$25</f>
        <v>0.3475188873792</v>
      </c>
      <c r="H12" s="400" t="e">
        <f t="shared" si="0"/>
        <v>#REF!</v>
      </c>
      <c r="I12" s="353"/>
    </row>
    <row r="13" spans="1:13" s="237" customFormat="1" ht="30" customHeight="1">
      <c r="A13" s="397" t="s">
        <v>29</v>
      </c>
      <c r="B13" s="401" t="s">
        <v>28</v>
      </c>
      <c r="C13" s="360">
        <f>+'1.1.6 Dầu hỏa'!$J$26</f>
        <v>510.81478969979997</v>
      </c>
      <c r="D13" s="360">
        <f>+'1.1.6 Dầu hỏa'!$K$26</f>
        <v>0.5946480931553999</v>
      </c>
      <c r="E13" s="360">
        <f>+'1.1.6 Dầu hỏa'!$L$26</f>
        <v>1.1637199242395999</v>
      </c>
      <c r="F13" s="360"/>
      <c r="G13" s="399">
        <f>+'1.1.6 Dầu hỏa'!$O$25</f>
        <v>512.57315771719504</v>
      </c>
      <c r="H13" s="400" t="e">
        <f t="shared" si="0"/>
        <v>#REF!</v>
      </c>
      <c r="I13" s="353"/>
    </row>
    <row r="14" spans="1:13" s="237" customFormat="1" ht="30" customHeight="1">
      <c r="A14" s="397" t="s">
        <v>31</v>
      </c>
      <c r="B14" s="401" t="s">
        <v>30</v>
      </c>
      <c r="C14" s="360">
        <f>+'1.1.7 Nước thủy tinh'!$F$25</f>
        <v>1.094552</v>
      </c>
      <c r="D14" s="360"/>
      <c r="E14" s="360"/>
      <c r="F14" s="360"/>
      <c r="G14" s="399">
        <f>+'1.1.7 Nước thủy tinh'!$F$25</f>
        <v>1.094552</v>
      </c>
      <c r="H14" s="400" t="e">
        <f t="shared" si="0"/>
        <v>#REF!</v>
      </c>
      <c r="I14" s="353"/>
    </row>
    <row r="15" spans="1:13" s="237" customFormat="1" ht="53.45" customHeight="1">
      <c r="A15" s="397" t="s">
        <v>33</v>
      </c>
      <c r="B15" s="401" t="s">
        <v>452</v>
      </c>
      <c r="C15" s="360">
        <f>+'1.1.8.Sơn lõi khuôn BR-750'!$S$26+'1.1.8. Sơn lõi KOALIDPASTE94i'!$Q$26</f>
        <v>9.9407864999999997</v>
      </c>
      <c r="D15" s="360"/>
      <c r="E15" s="360"/>
      <c r="F15" s="360"/>
      <c r="G15" s="399">
        <f>+'1.1.8.Sơn lõi khuôn BR-750'!$S$26+'1.1.8. Sơn lõi KOALIDPASTE94i'!$Q$26</f>
        <v>9.9407864999999997</v>
      </c>
      <c r="H15" s="400" t="e">
        <f t="shared" si="0"/>
        <v>#REF!</v>
      </c>
      <c r="I15" s="353"/>
    </row>
    <row r="16" spans="1:13" s="237" customFormat="1" ht="30" customHeight="1">
      <c r="A16" s="397" t="s">
        <v>35</v>
      </c>
      <c r="B16" s="401" t="s">
        <v>34</v>
      </c>
      <c r="C16" s="360" t="e">
        <f>+#REF!</f>
        <v>#REF!</v>
      </c>
      <c r="D16" s="360"/>
      <c r="E16" s="360"/>
      <c r="F16" s="360"/>
      <c r="G16" s="399" t="e">
        <f>+#REF!</f>
        <v>#REF!</v>
      </c>
      <c r="H16" s="400" t="e">
        <f t="shared" si="0"/>
        <v>#REF!</v>
      </c>
      <c r="I16" s="353"/>
    </row>
    <row r="17" spans="1:16" s="237" customFormat="1" ht="30" customHeight="1">
      <c r="A17" s="397" t="s">
        <v>37</v>
      </c>
      <c r="B17" s="401" t="s">
        <v>36</v>
      </c>
      <c r="C17" s="360">
        <f>+'1.1.9 Cồn Công nghiệp'!$G$25</f>
        <v>59.016019392000004</v>
      </c>
      <c r="D17" s="360"/>
      <c r="E17" s="360"/>
      <c r="F17" s="360"/>
      <c r="G17" s="399">
        <f>+'1.1.9 Cồn Công nghiệp'!$G$25</f>
        <v>59.016019392000004</v>
      </c>
      <c r="H17" s="400" t="e">
        <f t="shared" si="0"/>
        <v>#REF!</v>
      </c>
      <c r="I17" s="353"/>
    </row>
    <row r="18" spans="1:16" s="237" customFormat="1" ht="30" customHeight="1">
      <c r="A18" s="397" t="s">
        <v>243</v>
      </c>
      <c r="B18" s="401" t="s">
        <v>453</v>
      </c>
      <c r="C18" s="360">
        <f>+'1.1.10. CO2 kết dính thao'!$J$22</f>
        <v>118.25098300000001</v>
      </c>
      <c r="D18" s="360"/>
      <c r="E18" s="360"/>
      <c r="F18" s="360"/>
      <c r="G18" s="399">
        <f>+'1.1.10. CO2 kết dính thao'!$J$22</f>
        <v>118.25098300000001</v>
      </c>
      <c r="H18" s="400" t="e">
        <f t="shared" si="0"/>
        <v>#REF!</v>
      </c>
      <c r="I18" s="353"/>
    </row>
    <row r="19" spans="1:16" s="237" customFormat="1" ht="84.6" customHeight="1">
      <c r="A19" s="402">
        <v>1.2</v>
      </c>
      <c r="B19" s="356" t="s">
        <v>40</v>
      </c>
      <c r="C19" s="357"/>
      <c r="D19" s="357"/>
      <c r="E19" s="357"/>
      <c r="F19" s="357"/>
      <c r="G19" s="396"/>
      <c r="H19" s="361"/>
      <c r="I19" s="353"/>
    </row>
    <row r="20" spans="1:16" s="237" customFormat="1" ht="30" customHeight="1">
      <c r="A20" s="397" t="s">
        <v>41</v>
      </c>
      <c r="B20" s="359" t="s">
        <v>454</v>
      </c>
      <c r="C20" s="360">
        <f>+'1.2.1 DO Xe nângNB Offroad'!$I$26</f>
        <v>41.118946595999994</v>
      </c>
      <c r="D20" s="360">
        <f>+'1.2.1 DO Xe nângNB Offroad'!$J$26</f>
        <v>6.4250434974600007E-2</v>
      </c>
      <c r="E20" s="360">
        <f>+'1.2.1 DO Xe nângNB Offroad'!$K$26</f>
        <v>4.3326384781680005</v>
      </c>
      <c r="F20" s="360"/>
      <c r="G20" s="399">
        <f>+'1.2.1 DO Xe nângNB Offroad'!$N$25</f>
        <v>45.515835509142605</v>
      </c>
      <c r="H20" s="400" t="e">
        <f t="shared" si="0"/>
        <v>#REF!</v>
      </c>
      <c r="I20" s="353"/>
    </row>
    <row r="21" spans="1:16" s="237" customFormat="1" ht="30" customHeight="1">
      <c r="A21" s="397" t="s">
        <v>43</v>
      </c>
      <c r="B21" s="359" t="s">
        <v>26</v>
      </c>
      <c r="C21" s="360"/>
      <c r="D21" s="360"/>
      <c r="E21" s="360"/>
      <c r="F21" s="360"/>
      <c r="G21" s="399"/>
      <c r="H21" s="400" t="e">
        <f t="shared" si="0"/>
        <v>#REF!</v>
      </c>
      <c r="I21" s="353"/>
    </row>
    <row r="22" spans="1:16" s="237" customFormat="1" ht="69.599999999999994" customHeight="1">
      <c r="A22" s="402">
        <v>1.3</v>
      </c>
      <c r="B22" s="356" t="s">
        <v>399</v>
      </c>
      <c r="C22" s="403" t="e">
        <f>+C23+C24</f>
        <v>#REF!</v>
      </c>
      <c r="D22" s="403" t="e">
        <f>+D23+D24</f>
        <v>#REF!</v>
      </c>
      <c r="E22" s="403" t="e">
        <f>+E23+E24</f>
        <v>#REF!</v>
      </c>
      <c r="F22" s="396">
        <f>+F23+F24</f>
        <v>0</v>
      </c>
      <c r="G22" s="396"/>
      <c r="H22" s="363"/>
      <c r="I22" s="353"/>
    </row>
    <row r="23" spans="1:16" s="237" customFormat="1" ht="30" customHeight="1">
      <c r="A23" s="397" t="s">
        <v>46</v>
      </c>
      <c r="B23" s="359" t="s">
        <v>455</v>
      </c>
      <c r="C23" s="360" t="e">
        <f>+#REF!+'1.2.2 DOXevậntảiBNOnroad'!$I$26</f>
        <v>#REF!</v>
      </c>
      <c r="D23" s="360" t="e">
        <f>+#REF!+'1.2.2 DOXevậntảiBNOnroad'!$J$26</f>
        <v>#REF!</v>
      </c>
      <c r="E23" s="360" t="e">
        <f>+#REF!+'1.2.2 DOXevậntảiBNOnroad'!$K$26</f>
        <v>#REF!</v>
      </c>
      <c r="F23" s="360"/>
      <c r="G23" s="399" t="e">
        <f>+#REF!+'1.2.2 DOXevậntảiBNOnroad'!$N$25</f>
        <v>#REF!</v>
      </c>
      <c r="H23" s="400" t="e">
        <f t="shared" si="0"/>
        <v>#REF!</v>
      </c>
      <c r="I23" s="353"/>
    </row>
    <row r="24" spans="1:16" s="237" customFormat="1" ht="30" customHeight="1">
      <c r="A24" s="397" t="s">
        <v>47</v>
      </c>
      <c r="B24" s="359" t="s">
        <v>401</v>
      </c>
      <c r="C24" s="360">
        <f>+'1.2.3 Xăng Xe Onroad'!$I$26</f>
        <v>11.561834079180001</v>
      </c>
      <c r="D24" s="360">
        <f>+'1.2.3 Xăng Xe Onroad'!$J$26</f>
        <v>0.15360722419481995</v>
      </c>
      <c r="E24" s="360">
        <f>+'1.2.3 Xăng Xe Onroad'!$K$26</f>
        <v>0.14574918111935997</v>
      </c>
      <c r="F24" s="360"/>
      <c r="G24" s="399">
        <f>+'1.2.3 Xăng Xe Onroad'!$N$25</f>
        <v>11.86119048449418</v>
      </c>
      <c r="H24" s="400" t="e">
        <f t="shared" si="0"/>
        <v>#REF!</v>
      </c>
      <c r="I24" s="353"/>
    </row>
    <row r="25" spans="1:16" s="237" customFormat="1" ht="30" customHeight="1">
      <c r="A25" s="397">
        <v>1.4</v>
      </c>
      <c r="B25" s="359" t="s">
        <v>402</v>
      </c>
      <c r="C25" s="360">
        <f>+'1.3.1. Bình chữacháyCO2'!$G$22</f>
        <v>7.3999999999999995E-3</v>
      </c>
      <c r="D25" s="360"/>
      <c r="E25" s="360"/>
      <c r="F25" s="360"/>
      <c r="G25" s="399">
        <f>+'1.3.1. Bình chữacháyCO2'!$G$22</f>
        <v>7.3999999999999995E-3</v>
      </c>
      <c r="H25" s="400" t="e">
        <f t="shared" si="0"/>
        <v>#REF!</v>
      </c>
      <c r="I25" s="353"/>
    </row>
    <row r="26" spans="1:16" s="237" customFormat="1" ht="30" customHeight="1">
      <c r="A26" s="397">
        <v>1.5</v>
      </c>
      <c r="B26" s="359" t="s">
        <v>52</v>
      </c>
      <c r="C26" s="360"/>
      <c r="D26" s="360"/>
      <c r="E26" s="360"/>
      <c r="F26" s="360">
        <f>+'1.3.2.Môi chất lạnh'!$T$60</f>
        <v>12.593820000000001</v>
      </c>
      <c r="G26" s="399">
        <f>+'1.3.2.Môi chất lạnh'!$T$60</f>
        <v>12.593820000000001</v>
      </c>
      <c r="H26" s="400" t="e">
        <f t="shared" si="0"/>
        <v>#REF!</v>
      </c>
      <c r="I26" s="353"/>
    </row>
    <row r="27" spans="1:16" s="237" customFormat="1" ht="42" customHeight="1">
      <c r="A27" s="397">
        <v>1.6</v>
      </c>
      <c r="B27" s="404" t="s">
        <v>55</v>
      </c>
      <c r="C27" s="360"/>
      <c r="D27" s="360">
        <f>+'1.3.3 BỂ XỬ LÝ NƯỚC THẢI TT '!$K$25</f>
        <v>23.251581000000002</v>
      </c>
      <c r="E27" s="360">
        <f>+'1.3.3 BỂ XỬ LÝ NƯỚC THẢI TT '!$Q$44+'1.3.3 BỂ XL NƯỚC THẢI TT'!$J$23</f>
        <v>3.3529795218570393</v>
      </c>
      <c r="F27" s="360"/>
      <c r="G27" s="399">
        <f>+'1.3.3 BỂ XỬ LÝ NƯỚC THẢI TT '!$K$25+'1.3.3 BỂ XỬ LÝ NƯỚC THẢI TT '!$Q$44+'1.3.3 BỂ XL NƯỚC THẢI TT'!$J$23</f>
        <v>26.604560521857039</v>
      </c>
      <c r="H27" s="400" t="e">
        <f t="shared" si="0"/>
        <v>#REF!</v>
      </c>
      <c r="I27" s="353"/>
    </row>
    <row r="28" spans="1:16" s="237" customFormat="1" ht="45.6" customHeight="1">
      <c r="A28" s="573" t="s">
        <v>56</v>
      </c>
      <c r="B28" s="359" t="s">
        <v>57</v>
      </c>
      <c r="C28" s="360"/>
      <c r="D28" s="360"/>
      <c r="E28" s="360">
        <f>+'1.3.4 Phân bón'!$H$26</f>
        <v>5.5769999999999952E-2</v>
      </c>
      <c r="F28" s="360"/>
      <c r="G28" s="399">
        <f>+'1.3.4 Phân bón'!$H$26</f>
        <v>5.5769999999999952E-2</v>
      </c>
      <c r="H28" s="400" t="e">
        <f t="shared" si="0"/>
        <v>#REF!</v>
      </c>
      <c r="I28" s="353"/>
    </row>
    <row r="29" spans="1:16" s="237" customFormat="1" ht="38.450000000000003" customHeight="1">
      <c r="A29" s="574" t="s">
        <v>61</v>
      </c>
      <c r="B29" s="356" t="s">
        <v>62</v>
      </c>
      <c r="C29" s="357"/>
      <c r="D29" s="357"/>
      <c r="E29" s="357"/>
      <c r="F29" s="357"/>
      <c r="G29" s="357"/>
      <c r="H29" s="361"/>
      <c r="I29" s="353"/>
    </row>
    <row r="30" spans="1:16" s="237" customFormat="1" ht="45.6" customHeight="1">
      <c r="A30" s="397">
        <v>2.1</v>
      </c>
      <c r="B30" s="359" t="s">
        <v>407</v>
      </c>
      <c r="C30" s="358">
        <f>+'2.1. MUA ĐIỆN NGOÀI '!$H$23</f>
        <v>15779.499516184856</v>
      </c>
      <c r="D30" s="358"/>
      <c r="E30" s="358"/>
      <c r="F30" s="358"/>
      <c r="G30" s="362">
        <f>+'2.1. MUA ĐIỆN NGOÀI '!$H$23</f>
        <v>15779.499516184856</v>
      </c>
      <c r="H30" s="400" t="e">
        <f t="shared" si="0"/>
        <v>#REF!</v>
      </c>
      <c r="I30" s="353"/>
      <c r="N30" s="859" t="s">
        <v>456</v>
      </c>
      <c r="O30" s="853" t="s">
        <v>457</v>
      </c>
      <c r="P30" s="854"/>
    </row>
    <row r="31" spans="1:16" ht="38.450000000000003" customHeight="1">
      <c r="A31" s="855" t="s">
        <v>458</v>
      </c>
      <c r="B31" s="855"/>
      <c r="C31" s="855"/>
      <c r="D31" s="855"/>
      <c r="E31" s="855"/>
      <c r="F31" s="855"/>
      <c r="G31" s="364" t="e">
        <f>+G4+G30</f>
        <v>#REF!</v>
      </c>
      <c r="H31" s="405" t="e">
        <f>+SUM(H8:H30)</f>
        <v>#REF!</v>
      </c>
      <c r="N31" s="860"/>
      <c r="O31" s="382" t="s">
        <v>459</v>
      </c>
      <c r="P31" s="382" t="s">
        <v>460</v>
      </c>
    </row>
    <row r="32" spans="1:16" ht="38.450000000000003" customHeight="1">
      <c r="A32" s="855" t="s">
        <v>461</v>
      </c>
      <c r="B32" s="855"/>
      <c r="C32" s="855"/>
      <c r="D32" s="855"/>
      <c r="E32" s="855"/>
      <c r="F32" s="855"/>
      <c r="G32" s="364">
        <f>+'[2]Bảng SP'!C8</f>
        <v>25471.498</v>
      </c>
      <c r="H32" s="365" t="s">
        <v>462</v>
      </c>
      <c r="N32" s="383" t="s">
        <v>463</v>
      </c>
      <c r="O32" s="384">
        <v>5657</v>
      </c>
      <c r="P32" s="384">
        <v>5974</v>
      </c>
    </row>
    <row r="33" spans="1:16" ht="38.450000000000003" customHeight="1">
      <c r="A33" s="855" t="s">
        <v>464</v>
      </c>
      <c r="B33" s="855"/>
      <c r="C33" s="855"/>
      <c r="D33" s="855"/>
      <c r="E33" s="855"/>
      <c r="F33" s="855"/>
      <c r="G33" s="364" t="e">
        <f>+G31/G32</f>
        <v>#REF!</v>
      </c>
      <c r="H33" s="365" t="s">
        <v>465</v>
      </c>
      <c r="N33" s="383" t="s">
        <v>466</v>
      </c>
      <c r="O33" s="384">
        <v>8086</v>
      </c>
      <c r="P33" s="384">
        <v>8759</v>
      </c>
    </row>
    <row r="34" spans="1:16" ht="28.5" customHeight="1">
      <c r="N34" s="383" t="s">
        <v>467</v>
      </c>
      <c r="O34" s="384">
        <v>9293</v>
      </c>
      <c r="P34" s="384">
        <v>9872</v>
      </c>
    </row>
    <row r="35" spans="1:16" ht="28.5" customHeight="1">
      <c r="N35" s="383" t="s">
        <v>468</v>
      </c>
      <c r="O35" s="385">
        <v>904.58699999999999</v>
      </c>
      <c r="P35" s="384">
        <v>866.49800000000005</v>
      </c>
    </row>
    <row r="36" spans="1:16" ht="28.5" customHeight="1">
      <c r="N36" s="381" t="s">
        <v>469</v>
      </c>
      <c r="O36" s="386">
        <f>+O32+O33+O34+O35</f>
        <v>23940.587</v>
      </c>
      <c r="P36" s="386">
        <f>+P32+P33+P34+P35</f>
        <v>25471.498</v>
      </c>
    </row>
    <row r="37" spans="1:16" ht="28.5" customHeight="1">
      <c r="N37" s="387" t="s">
        <v>470</v>
      </c>
      <c r="O37"/>
      <c r="P37"/>
    </row>
  </sheetData>
  <mergeCells count="11">
    <mergeCell ref="O30:P30"/>
    <mergeCell ref="A31:F31"/>
    <mergeCell ref="A32:F32"/>
    <mergeCell ref="A33:F33"/>
    <mergeCell ref="A4:A6"/>
    <mergeCell ref="N30:N31"/>
    <mergeCell ref="A1:B2"/>
    <mergeCell ref="G1:H2"/>
    <mergeCell ref="C1:F2"/>
    <mergeCell ref="A3:B3"/>
    <mergeCell ref="C3:F3"/>
  </mergeCells>
  <pageMargins left="0.18" right="0.18" top="0.42" bottom="0.28999999999999998" header="0.16" footer="0.09"/>
  <pageSetup paperSize="9" scale="92"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35"/>
  <sheetViews>
    <sheetView topLeftCell="A23" zoomScale="60" zoomScaleNormal="60" workbookViewId="0">
      <selection activeCell="C25" sqref="C25"/>
    </sheetView>
  </sheetViews>
  <sheetFormatPr defaultColWidth="9.28515625" defaultRowHeight="28.5" customHeight="1"/>
  <cols>
    <col min="1" max="1" width="11.140625" style="351" customWidth="1"/>
    <col min="2" max="2" width="40.7109375" style="351" customWidth="1"/>
    <col min="3" max="3" width="18.28515625" style="351" customWidth="1"/>
    <col min="4" max="6" width="14.42578125" style="351" customWidth="1"/>
    <col min="7" max="7" width="20" style="352" customWidth="1"/>
    <col min="8" max="8" width="24" style="351" customWidth="1"/>
    <col min="9" max="9" width="14.28515625" style="353" customWidth="1"/>
    <col min="10" max="11" width="11.7109375" style="351" customWidth="1"/>
    <col min="12" max="14" width="9.28515625" style="351"/>
    <col min="15" max="15" width="12.7109375" style="351" customWidth="1"/>
    <col min="16" max="16" width="16.7109375" style="351" customWidth="1"/>
    <col min="17" max="16384" width="9.28515625" style="351"/>
  </cols>
  <sheetData>
    <row r="1" spans="1:13" ht="28.5" customHeight="1">
      <c r="A1" s="783"/>
      <c r="B1" s="783"/>
      <c r="C1" s="660" t="s">
        <v>438</v>
      </c>
      <c r="D1" s="660"/>
      <c r="E1" s="660"/>
      <c r="F1" s="660"/>
      <c r="G1" s="861" t="s">
        <v>1105</v>
      </c>
      <c r="H1" s="862"/>
    </row>
    <row r="2" spans="1:13" ht="37.5" customHeight="1">
      <c r="A2" s="783"/>
      <c r="B2" s="783"/>
      <c r="C2" s="660"/>
      <c r="D2" s="660"/>
      <c r="E2" s="660"/>
      <c r="F2" s="660"/>
      <c r="G2" s="862"/>
      <c r="H2" s="862"/>
    </row>
    <row r="3" spans="1:13" ht="44.25" customHeight="1">
      <c r="A3" s="863" t="s">
        <v>440</v>
      </c>
      <c r="B3" s="863"/>
      <c r="C3" s="863" t="s">
        <v>441</v>
      </c>
      <c r="D3" s="863"/>
      <c r="E3" s="863"/>
      <c r="F3" s="863"/>
      <c r="G3" s="106" t="s">
        <v>442</v>
      </c>
      <c r="H3" s="28" t="s">
        <v>443</v>
      </c>
    </row>
    <row r="4" spans="1:13" s="366" customFormat="1" ht="39.75" customHeight="1">
      <c r="A4" s="863" t="s">
        <v>9</v>
      </c>
      <c r="B4" s="28" t="s">
        <v>444</v>
      </c>
      <c r="C4" s="28" t="s">
        <v>24</v>
      </c>
      <c r="D4" s="28" t="s">
        <v>445</v>
      </c>
      <c r="E4" s="28" t="s">
        <v>446</v>
      </c>
      <c r="F4" s="28" t="s">
        <v>447</v>
      </c>
      <c r="G4" s="106">
        <f>+SUM(G7:G26)</f>
        <v>1126.2670184343342</v>
      </c>
      <c r="H4" s="269">
        <f>G4/$G$29*100</f>
        <v>6.6620286996628861</v>
      </c>
      <c r="I4" s="378"/>
    </row>
    <row r="5" spans="1:13" s="366" customFormat="1" ht="28.5" customHeight="1">
      <c r="A5" s="863"/>
      <c r="B5" s="28" t="s">
        <v>448</v>
      </c>
      <c r="C5" s="367">
        <f>+SUM(C8:C17)+SUM(C19:C26)</f>
        <v>1076.7623045861801</v>
      </c>
      <c r="D5" s="367">
        <f>+SUM(D8:D17)+SUM(D19:D26)</f>
        <v>24.460401290812023</v>
      </c>
      <c r="E5" s="367">
        <f>+SUM(E8:E17)+SUM(E19:E26)</f>
        <v>12.4504925573422</v>
      </c>
      <c r="F5" s="367">
        <f>+SUM(F8:F17)+F19+SUM(F20:F26)</f>
        <v>12.593820000000001</v>
      </c>
      <c r="G5" s="106"/>
      <c r="H5" s="269"/>
      <c r="I5" s="378"/>
    </row>
    <row r="6" spans="1:13" s="366" customFormat="1" ht="28.5" customHeight="1">
      <c r="A6" s="863"/>
      <c r="B6" s="28" t="s">
        <v>449</v>
      </c>
      <c r="C6" s="368">
        <f>+C5/$G$4</f>
        <v>0.95604531337784138</v>
      </c>
      <c r="D6" s="368">
        <f>+D5/$G$4</f>
        <v>2.1718119140890176E-2</v>
      </c>
      <c r="E6" s="368">
        <f>+E5/$G$4</f>
        <v>1.1054654316922192E-2</v>
      </c>
      <c r="F6" s="368">
        <f>+F5/$G$4</f>
        <v>1.1181913164346356E-2</v>
      </c>
      <c r="G6" s="106"/>
      <c r="H6" s="269"/>
      <c r="I6" s="378"/>
    </row>
    <row r="7" spans="1:13" s="237" customFormat="1" ht="30" customHeight="1">
      <c r="A7" s="28" t="s">
        <v>11</v>
      </c>
      <c r="B7" s="369" t="s">
        <v>12</v>
      </c>
      <c r="C7" s="370">
        <f>+C8+C9+C11+C13+C14+C15+C17+C16</f>
        <v>783.79632852379996</v>
      </c>
      <c r="D7" s="370">
        <f>+D8+D9+D11+D13+D14+D15+D17+D16</f>
        <v>0.63262421275139991</v>
      </c>
      <c r="E7" s="370">
        <f>+E8+E9+E11+E13+E14+E15+E17+E16</f>
        <v>1.2019347009305998</v>
      </c>
      <c r="F7" s="371"/>
      <c r="G7" s="372"/>
      <c r="H7" s="320"/>
      <c r="I7" s="353"/>
    </row>
    <row r="8" spans="1:13" s="237" customFormat="1" ht="30" customHeight="1">
      <c r="A8" s="30" t="s">
        <v>13</v>
      </c>
      <c r="B8" s="204" t="s">
        <v>450</v>
      </c>
      <c r="C8" s="373">
        <f>+'1.1.1 DO Máy phát điện'!$I$26</f>
        <v>0.954838521</v>
      </c>
      <c r="D8" s="373">
        <f>+'1.1.1 DO Máy phát điện'!$J$26</f>
        <v>1.0785422969999999E-3</v>
      </c>
      <c r="E8" s="373">
        <f>+'1.1.1 DO Máy phát điện'!$K$26</f>
        <v>2.110695678E-3</v>
      </c>
      <c r="F8" s="373"/>
      <c r="G8" s="374">
        <f>+'1.1.1 DO Máy phát điện'!$N$25</f>
        <v>0.95802775897500003</v>
      </c>
      <c r="H8" s="368">
        <f t="shared" ref="H8:H17" si="0">G8/$G$29</f>
        <v>5.6668696862291078E-5</v>
      </c>
      <c r="I8" s="353"/>
    </row>
    <row r="9" spans="1:13" s="237" customFormat="1" ht="30" customHeight="1">
      <c r="A9" s="30" t="s">
        <v>18</v>
      </c>
      <c r="B9" s="204" t="s">
        <v>19</v>
      </c>
      <c r="C9" s="373">
        <f>+'1.1.2 Gas LPG SX'!$I$26</f>
        <v>83.449359411000003</v>
      </c>
      <c r="D9" s="373">
        <f>+'1.1.2 Gas LPG SX'!$J$26</f>
        <v>3.6897577298999999E-2</v>
      </c>
      <c r="E9" s="373">
        <f>+'1.1.2 Gas LPG SX'!$K$26</f>
        <v>3.6104081013E-2</v>
      </c>
      <c r="F9" s="373"/>
      <c r="G9" s="374">
        <f>+'1.1.2 Gas LPG SX'!$N$25</f>
        <v>83.522361069311998</v>
      </c>
      <c r="H9" s="368">
        <f t="shared" si="0"/>
        <v>4.9404657812041281E-3</v>
      </c>
      <c r="I9" s="353"/>
    </row>
    <row r="10" spans="1:13" s="237" customFormat="1" ht="30" customHeight="1">
      <c r="A10" s="30" t="s">
        <v>20</v>
      </c>
      <c r="B10" s="204" t="s">
        <v>21</v>
      </c>
      <c r="C10" s="373">
        <f>+'1.1.3 Gas LPG Nhà ăn'!$I$26</f>
        <v>6.2319074399999996</v>
      </c>
      <c r="D10" s="373">
        <f>+'1.1.3 Gas LPG Nhà ăn'!$J$26</f>
        <v>1.3777354799999997E-2</v>
      </c>
      <c r="E10" s="373">
        <f>+'1.1.3 Gas LPG Nhà ăn'!$K$26</f>
        <v>2.6962135199999999E-3</v>
      </c>
      <c r="F10" s="373"/>
      <c r="G10" s="374">
        <f>+'1.1.3 Gas LPG Nhà ăn'!$N$25</f>
        <v>6.2483810083200009</v>
      </c>
      <c r="H10" s="368">
        <f t="shared" si="0"/>
        <v>3.6960057359864329E-4</v>
      </c>
      <c r="I10" s="379"/>
      <c r="J10" s="379"/>
      <c r="K10" s="379"/>
      <c r="M10" s="380"/>
    </row>
    <row r="11" spans="1:13" s="237" customFormat="1" ht="30" customHeight="1">
      <c r="A11" s="30" t="s">
        <v>22</v>
      </c>
      <c r="B11" s="204" t="s">
        <v>23</v>
      </c>
      <c r="C11" s="373">
        <f>+'1.1.4 Methanol'!$F$25</f>
        <v>0.27500000000000002</v>
      </c>
      <c r="D11" s="373"/>
      <c r="E11" s="373"/>
      <c r="F11" s="373"/>
      <c r="G11" s="374">
        <f>+'1.1.4 Methanol'!$F$25</f>
        <v>0.27500000000000002</v>
      </c>
      <c r="H11" s="368">
        <f t="shared" si="0"/>
        <v>1.6266638926833763E-5</v>
      </c>
      <c r="I11" s="353"/>
    </row>
    <row r="12" spans="1:13" s="237" customFormat="1" ht="42" customHeight="1">
      <c r="A12" s="30" t="s">
        <v>25</v>
      </c>
      <c r="B12" s="204" t="s">
        <v>1100</v>
      </c>
      <c r="C12" s="373">
        <f>+'1.1.5 Xăng MCC '!$I$26</f>
        <v>0.34531247519999997</v>
      </c>
      <c r="D12" s="373">
        <f>+'1.1.5 Xăng MCC '!$J$26</f>
        <v>1.3902190559999998E-3</v>
      </c>
      <c r="E12" s="373">
        <f>+'1.1.5 Xăng MCC '!$K$26</f>
        <v>8.161931232E-4</v>
      </c>
      <c r="F12" s="373"/>
      <c r="G12" s="374">
        <f>+'1.1.5 Xăng MCC '!$N$25</f>
        <v>0.3475188873792</v>
      </c>
      <c r="H12" s="368">
        <f t="shared" si="0"/>
        <v>2.0556233677281644E-5</v>
      </c>
      <c r="I12" s="353"/>
    </row>
    <row r="13" spans="1:13" s="237" customFormat="1" ht="30" customHeight="1">
      <c r="A13" s="30" t="s">
        <v>27</v>
      </c>
      <c r="B13" s="204" t="s">
        <v>346</v>
      </c>
      <c r="C13" s="373">
        <f>+'1.1.6 Dầu hỏa'!$J$26</f>
        <v>510.81478969979997</v>
      </c>
      <c r="D13" s="373">
        <f>+'1.1.6 Dầu hỏa'!$K$26</f>
        <v>0.5946480931553999</v>
      </c>
      <c r="E13" s="373">
        <f>+'1.1.6 Dầu hỏa'!$L$26</f>
        <v>1.1637199242395999</v>
      </c>
      <c r="F13" s="373"/>
      <c r="G13" s="374">
        <f>+'1.1.6 Dầu hỏa'!$O$25</f>
        <v>512.57315771719504</v>
      </c>
      <c r="H13" s="368">
        <f t="shared" si="0"/>
        <v>3.0319427200627729E-2</v>
      </c>
      <c r="I13" s="353"/>
    </row>
    <row r="14" spans="1:13" s="237" customFormat="1" ht="30" customHeight="1">
      <c r="A14" s="30" t="s">
        <v>29</v>
      </c>
      <c r="B14" s="204" t="s">
        <v>30</v>
      </c>
      <c r="C14" s="373">
        <f>+'1.1.7 Nước thủy tinh'!$F$25</f>
        <v>1.094552</v>
      </c>
      <c r="D14" s="373"/>
      <c r="E14" s="373"/>
      <c r="F14" s="373"/>
      <c r="G14" s="374">
        <f>+'1.1.7 Nước thủy tinh'!$F$25</f>
        <v>1.094552</v>
      </c>
      <c r="H14" s="368">
        <f t="shared" si="0"/>
        <v>6.4744298802340891E-5</v>
      </c>
      <c r="I14" s="353"/>
    </row>
    <row r="15" spans="1:13" s="237" customFormat="1" ht="53.45" customHeight="1">
      <c r="A15" s="30" t="s">
        <v>31</v>
      </c>
      <c r="B15" s="204" t="s">
        <v>347</v>
      </c>
      <c r="C15" s="373">
        <f>+'1.1.8.Sơn lõi khuôn BR-750'!$S$26+'1.1.8. Sơn lõi KOALIDPASTE94i'!$Q$26</f>
        <v>9.9407864999999997</v>
      </c>
      <c r="D15" s="373"/>
      <c r="E15" s="373"/>
      <c r="F15" s="373"/>
      <c r="G15" s="374">
        <f>+'1.1.8.Sơn lõi khuôn BR-750'!$S$26+'1.1.8. Sơn lõi KOALIDPASTE94i'!$Q$26</f>
        <v>9.9407864999999997</v>
      </c>
      <c r="H15" s="368">
        <f t="shared" si="0"/>
        <v>5.8801158052452195E-4</v>
      </c>
      <c r="I15" s="353"/>
    </row>
    <row r="16" spans="1:13" s="237" customFormat="1" ht="30" customHeight="1">
      <c r="A16" s="30" t="s">
        <v>33</v>
      </c>
      <c r="B16" s="204" t="s">
        <v>36</v>
      </c>
      <c r="C16" s="373">
        <f>+'1.1.9 Cồn Công nghiệp'!$G$25</f>
        <v>59.016019392000004</v>
      </c>
      <c r="D16" s="373"/>
      <c r="E16" s="373"/>
      <c r="F16" s="373"/>
      <c r="G16" s="374">
        <f>+'1.1.9 Cồn Công nghiệp'!$G$25</f>
        <v>59.016019392000004</v>
      </c>
      <c r="H16" s="368">
        <f t="shared" si="0"/>
        <v>3.4908810121770301E-3</v>
      </c>
      <c r="I16" s="353"/>
    </row>
    <row r="17" spans="1:16" s="237" customFormat="1" ht="30" customHeight="1">
      <c r="A17" s="30" t="s">
        <v>35</v>
      </c>
      <c r="B17" s="204" t="s">
        <v>349</v>
      </c>
      <c r="C17" s="373">
        <f>+'1.1.10. CO2 kết dính thao'!$J$22</f>
        <v>118.25098300000001</v>
      </c>
      <c r="D17" s="373"/>
      <c r="E17" s="373"/>
      <c r="F17" s="373"/>
      <c r="G17" s="374">
        <f>+'1.1.10. CO2 kết dính thao'!$J$22</f>
        <v>118.25098300000001</v>
      </c>
      <c r="H17" s="368">
        <f t="shared" si="0"/>
        <v>6.9947128843787544E-3</v>
      </c>
      <c r="I17" s="353"/>
    </row>
    <row r="18" spans="1:16" s="237" customFormat="1" ht="69" customHeight="1">
      <c r="A18" s="575" t="s">
        <v>39</v>
      </c>
      <c r="B18" s="369" t="s">
        <v>350</v>
      </c>
      <c r="C18" s="371"/>
      <c r="D18" s="371"/>
      <c r="E18" s="371"/>
      <c r="F18" s="371"/>
      <c r="G18" s="372"/>
      <c r="H18" s="320"/>
      <c r="I18" s="353"/>
    </row>
    <row r="19" spans="1:16" s="237" customFormat="1" ht="30" customHeight="1">
      <c r="A19" s="30" t="s">
        <v>41</v>
      </c>
      <c r="B19" s="204" t="s">
        <v>351</v>
      </c>
      <c r="C19" s="373">
        <f>+'1.2.1 DO Xe nângNB Offroad'!$I$26</f>
        <v>41.118946595999994</v>
      </c>
      <c r="D19" s="373">
        <f>+'1.2.1 DO Xe nângNB Offroad'!$J$26</f>
        <v>6.4250434974600007E-2</v>
      </c>
      <c r="E19" s="373">
        <f>+'1.2.1 DO Xe nângNB Offroad'!$K$26</f>
        <v>4.3326384781680005</v>
      </c>
      <c r="F19" s="373"/>
      <c r="G19" s="374">
        <f>+'1.2.1 DO Xe nângNB Offroad'!$N$25</f>
        <v>45.515835509142605</v>
      </c>
      <c r="H19" s="368">
        <f>G19/$G$29</f>
        <v>2.6923260424741142E-3</v>
      </c>
      <c r="I19" s="353"/>
    </row>
    <row r="20" spans="1:16" s="237" customFormat="1" ht="30" customHeight="1">
      <c r="A20" s="30" t="s">
        <v>43</v>
      </c>
      <c r="B20" s="204" t="s">
        <v>353</v>
      </c>
      <c r="C20" s="373">
        <f>'1.2.2 DOXevậntảiBNOnroad'!I26</f>
        <v>233.70057547200003</v>
      </c>
      <c r="D20" s="373">
        <f>'1.2.2 DOXevậntảiBNOnroad'!J26</f>
        <v>0.34317084503520001</v>
      </c>
      <c r="E20" s="373">
        <f>'1.2.2 DOXevậntảiBNOnroad'!K26</f>
        <v>3.357908268624</v>
      </c>
      <c r="F20" s="373"/>
      <c r="G20" s="374">
        <f>'1.2.2 DOXevậntảiBNOnroad'!N25</f>
        <v>237.40165458565917</v>
      </c>
      <c r="H20" s="368">
        <f>G20/$G$29</f>
        <v>1.4042643621010277E-2</v>
      </c>
      <c r="I20" s="353"/>
    </row>
    <row r="21" spans="1:16" s="237" customFormat="1" ht="30" customHeight="1">
      <c r="A21" s="30" t="s">
        <v>355</v>
      </c>
      <c r="B21" s="204" t="s">
        <v>356</v>
      </c>
      <c r="C21" s="373">
        <f>+'1.2.3 Xăng Xe Onroad'!$I$26</f>
        <v>11.561834079180001</v>
      </c>
      <c r="D21" s="373">
        <f>+'1.2.3 Xăng Xe Onroad'!$J$26</f>
        <v>0.15360722419481995</v>
      </c>
      <c r="E21" s="373">
        <f>+'1.2.3 Xăng Xe Onroad'!$K$26</f>
        <v>0.14574918111935997</v>
      </c>
      <c r="F21" s="373"/>
      <c r="G21" s="374">
        <f>+'1.2.3 Xăng Xe Onroad'!$N$25</f>
        <v>11.86119048449418</v>
      </c>
      <c r="H21" s="368">
        <f>G21/$G$29</f>
        <v>7.0160619219513905E-4</v>
      </c>
      <c r="I21" s="353"/>
    </row>
    <row r="22" spans="1:16" s="237" customFormat="1" ht="30" customHeight="1">
      <c r="A22" s="28" t="s">
        <v>44</v>
      </c>
      <c r="B22" s="505" t="s">
        <v>357</v>
      </c>
      <c r="C22" s="373"/>
      <c r="D22" s="373"/>
      <c r="E22" s="373"/>
      <c r="F22" s="373"/>
      <c r="G22" s="374"/>
      <c r="H22" s="368"/>
      <c r="I22" s="353"/>
    </row>
    <row r="23" spans="1:16" s="237" customFormat="1" ht="30" customHeight="1">
      <c r="A23" s="30" t="s">
        <v>46</v>
      </c>
      <c r="B23" s="204" t="s">
        <v>49</v>
      </c>
      <c r="C23" s="373">
        <f>+'1.3.1. Bình chữacháyCO2'!$G$22</f>
        <v>7.3999999999999995E-3</v>
      </c>
      <c r="D23" s="373"/>
      <c r="E23" s="373"/>
      <c r="F23" s="373"/>
      <c r="G23" s="374">
        <f>+'1.3.1. Bình chữacháyCO2'!$G$22</f>
        <v>7.3999999999999995E-3</v>
      </c>
      <c r="H23" s="368">
        <f>G23/$G$29</f>
        <v>4.3772046566752663E-7</v>
      </c>
      <c r="I23" s="353"/>
    </row>
    <row r="24" spans="1:16" s="237" customFormat="1" ht="30" customHeight="1">
      <c r="A24" s="30" t="s">
        <v>47</v>
      </c>
      <c r="B24" s="204" t="s">
        <v>52</v>
      </c>
      <c r="C24" s="373"/>
      <c r="D24" s="373"/>
      <c r="E24" s="373"/>
      <c r="F24" s="373">
        <f>+'1.3.2.Môi chất lạnh'!$T$60</f>
        <v>12.593820000000001</v>
      </c>
      <c r="G24" s="374">
        <f>+'1.3.2.Môi chất lạnh'!$T$60</f>
        <v>12.593820000000001</v>
      </c>
      <c r="H24" s="368">
        <f>G24/$G$29</f>
        <v>7.449422641801366E-4</v>
      </c>
      <c r="I24" s="353"/>
    </row>
    <row r="25" spans="1:16" s="237" customFormat="1" ht="42" customHeight="1">
      <c r="A25" s="30" t="s">
        <v>358</v>
      </c>
      <c r="B25" s="204" t="s">
        <v>55</v>
      </c>
      <c r="C25" s="373"/>
      <c r="D25" s="373">
        <f>+'1.3.3 BỂ XỬ LÝ NƯỚC THẢI TT '!$K$25</f>
        <v>23.251581000000002</v>
      </c>
      <c r="E25" s="373">
        <f>+'1.3.3 BỂ XỬ LÝ NƯỚC THẢI TT '!$Q$44+'1.3.3 BỂ XL NƯỚC THẢI TT'!$J$23</f>
        <v>3.3529795218570393</v>
      </c>
      <c r="F25" s="373"/>
      <c r="G25" s="374">
        <f>+'1.3.3 BỂ XỬ LÝ NƯỚC THẢI TT '!$K$25+'1.3.3 BỂ XỬ LÝ NƯỚC THẢI TT '!$Q$44+'1.3.3 BỂ XL NƯỚC THẢI TT'!$J$23</f>
        <v>26.604560521857039</v>
      </c>
      <c r="H25" s="368">
        <f>G25/$G$29</f>
        <v>1.573697381149616E-3</v>
      </c>
      <c r="I25" s="353"/>
    </row>
    <row r="26" spans="1:16" s="237" customFormat="1" ht="45.6" customHeight="1">
      <c r="A26" s="30" t="s">
        <v>359</v>
      </c>
      <c r="B26" s="204" t="s">
        <v>57</v>
      </c>
      <c r="C26" s="373"/>
      <c r="D26" s="373"/>
      <c r="E26" s="373">
        <f>+'1.3.4 Phân bón'!$H$26</f>
        <v>5.5769999999999952E-2</v>
      </c>
      <c r="F26" s="373"/>
      <c r="G26" s="374">
        <f>+'1.3.4 Phân bón'!$H$26</f>
        <v>5.5769999999999952E-2</v>
      </c>
      <c r="H26" s="368">
        <f>G26/$G$29</f>
        <v>3.2988743743618837E-6</v>
      </c>
      <c r="I26" s="353"/>
    </row>
    <row r="27" spans="1:16" s="237" customFormat="1" ht="38.450000000000003" customHeight="1">
      <c r="A27" s="575" t="s">
        <v>61</v>
      </c>
      <c r="B27" s="369" t="s">
        <v>62</v>
      </c>
      <c r="C27" s="371"/>
      <c r="D27" s="371"/>
      <c r="E27" s="371"/>
      <c r="F27" s="371"/>
      <c r="G27" s="371"/>
      <c r="H27" s="320"/>
      <c r="I27" s="353"/>
    </row>
    <row r="28" spans="1:16" s="237" customFormat="1" ht="45.6" customHeight="1">
      <c r="A28" s="30" t="s">
        <v>63</v>
      </c>
      <c r="B28" s="204" t="s">
        <v>1145</v>
      </c>
      <c r="C28" s="375">
        <f>+'2.1. MUA ĐIỆN NGOÀI '!$H$23</f>
        <v>15779.499516184856</v>
      </c>
      <c r="D28" s="375"/>
      <c r="E28" s="375"/>
      <c r="F28" s="375"/>
      <c r="G28" s="106">
        <f>+'2.1. MUA ĐIỆN NGOÀI '!$H$23</f>
        <v>15779.499516184856</v>
      </c>
      <c r="H28" s="368">
        <f>G28/$G$29</f>
        <v>0.93337971300337119</v>
      </c>
      <c r="I28" s="353"/>
      <c r="N28" s="859" t="s">
        <v>456</v>
      </c>
      <c r="O28" s="853" t="s">
        <v>457</v>
      </c>
      <c r="P28" s="854"/>
    </row>
    <row r="29" spans="1:16" ht="38.450000000000003" customHeight="1">
      <c r="A29" s="864" t="s">
        <v>458</v>
      </c>
      <c r="B29" s="864"/>
      <c r="C29" s="864"/>
      <c r="D29" s="864"/>
      <c r="E29" s="864"/>
      <c r="F29" s="864"/>
      <c r="G29" s="376">
        <f>+G4+G28</f>
        <v>16905.76653461919</v>
      </c>
      <c r="H29" s="377">
        <f>+SUM(H8:H28)</f>
        <v>1</v>
      </c>
      <c r="N29" s="860"/>
      <c r="O29" s="382" t="s">
        <v>459</v>
      </c>
      <c r="P29" s="382" t="s">
        <v>460</v>
      </c>
    </row>
    <row r="30" spans="1:16" ht="38.450000000000003" customHeight="1">
      <c r="A30" s="864" t="s">
        <v>461</v>
      </c>
      <c r="B30" s="864"/>
      <c r="C30" s="864"/>
      <c r="D30" s="864"/>
      <c r="E30" s="864"/>
      <c r="F30" s="864"/>
      <c r="G30" s="376">
        <f>+'[2]Bảng SP'!C8</f>
        <v>25471.498</v>
      </c>
      <c r="H30" s="46" t="s">
        <v>462</v>
      </c>
      <c r="N30" s="383" t="s">
        <v>463</v>
      </c>
      <c r="O30" s="384">
        <v>5657</v>
      </c>
      <c r="P30" s="384">
        <v>5974</v>
      </c>
    </row>
    <row r="31" spans="1:16" ht="38.450000000000003" customHeight="1">
      <c r="A31" s="864" t="s">
        <v>464</v>
      </c>
      <c r="B31" s="864"/>
      <c r="C31" s="864"/>
      <c r="D31" s="864"/>
      <c r="E31" s="864"/>
      <c r="F31" s="864"/>
      <c r="G31" s="376">
        <f>+G29/G30</f>
        <v>0.66371308568578058</v>
      </c>
      <c r="H31" s="46" t="s">
        <v>465</v>
      </c>
      <c r="N31" s="383" t="s">
        <v>466</v>
      </c>
      <c r="O31" s="384">
        <v>8086</v>
      </c>
      <c r="P31" s="384">
        <v>8759</v>
      </c>
    </row>
    <row r="32" spans="1:16" ht="28.5" customHeight="1">
      <c r="N32" s="383" t="s">
        <v>467</v>
      </c>
      <c r="O32" s="384">
        <v>9293</v>
      </c>
      <c r="P32" s="384">
        <v>9872</v>
      </c>
    </row>
    <row r="33" spans="14:16" ht="28.5" customHeight="1">
      <c r="N33" s="383" t="s">
        <v>468</v>
      </c>
      <c r="O33" s="385">
        <v>904.58699999999999</v>
      </c>
      <c r="P33" s="384">
        <v>866.49800000000005</v>
      </c>
    </row>
    <row r="34" spans="14:16" ht="28.5" customHeight="1">
      <c r="N34" s="381" t="s">
        <v>469</v>
      </c>
      <c r="O34" s="386">
        <f>+O30+O31+O32+O33</f>
        <v>23940.587</v>
      </c>
      <c r="P34" s="386">
        <f>+P30+P31+P32+P33</f>
        <v>25471.498</v>
      </c>
    </row>
    <row r="35" spans="14:16" ht="28.5" customHeight="1">
      <c r="N35" s="387" t="s">
        <v>470</v>
      </c>
      <c r="O35"/>
      <c r="P35"/>
    </row>
  </sheetData>
  <mergeCells count="11">
    <mergeCell ref="O28:P28"/>
    <mergeCell ref="A29:F29"/>
    <mergeCell ref="A30:F30"/>
    <mergeCell ref="A31:F31"/>
    <mergeCell ref="A4:A6"/>
    <mergeCell ref="N28:N29"/>
    <mergeCell ref="A1:B2"/>
    <mergeCell ref="G1:H2"/>
    <mergeCell ref="C1:F2"/>
    <mergeCell ref="A3:B3"/>
    <mergeCell ref="C3:F3"/>
  </mergeCells>
  <pageMargins left="0.18" right="0.18" top="0.42" bottom="0.28999999999999998" header="0.16" footer="0.09"/>
  <pageSetup paperSize="9" scale="37"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31"/>
  <sheetViews>
    <sheetView topLeftCell="A15" zoomScale="55" zoomScaleNormal="55" workbookViewId="0">
      <selection activeCell="A29" sqref="A29:N29"/>
    </sheetView>
  </sheetViews>
  <sheetFormatPr defaultColWidth="9.28515625" defaultRowHeight="20.25"/>
  <cols>
    <col min="1" max="1" width="11.140625" style="595" customWidth="1"/>
    <col min="2" max="2" width="40.7109375" style="595" customWidth="1"/>
    <col min="3" max="14" width="14.42578125" style="595" customWidth="1"/>
    <col min="15" max="15" width="20" style="605" customWidth="1"/>
    <col min="16" max="16" width="24" style="595" customWidth="1"/>
    <col min="17" max="17" width="46.28515625" style="594" customWidth="1"/>
    <col min="18" max="16384" width="9.28515625" style="595"/>
  </cols>
  <sheetData>
    <row r="1" spans="1:17" ht="45" customHeight="1">
      <c r="A1" s="868"/>
      <c r="B1" s="869"/>
      <c r="C1" s="876" t="s">
        <v>438</v>
      </c>
      <c r="D1" s="876"/>
      <c r="E1" s="876"/>
      <c r="F1" s="876"/>
      <c r="G1" s="876"/>
      <c r="H1" s="876"/>
      <c r="I1" s="876"/>
      <c r="J1" s="876"/>
      <c r="K1" s="876"/>
      <c r="L1" s="876"/>
      <c r="M1" s="876"/>
      <c r="N1" s="876"/>
      <c r="O1" s="872" t="s">
        <v>1105</v>
      </c>
      <c r="P1" s="873"/>
    </row>
    <row r="2" spans="1:17" ht="39" customHeight="1">
      <c r="A2" s="870"/>
      <c r="B2" s="871"/>
      <c r="C2" s="877"/>
      <c r="D2" s="877"/>
      <c r="E2" s="877"/>
      <c r="F2" s="877"/>
      <c r="G2" s="877"/>
      <c r="H2" s="877"/>
      <c r="I2" s="877"/>
      <c r="J2" s="877"/>
      <c r="K2" s="877"/>
      <c r="L2" s="877"/>
      <c r="M2" s="877"/>
      <c r="N2" s="877"/>
      <c r="O2" s="874"/>
      <c r="P2" s="875"/>
    </row>
    <row r="3" spans="1:17" ht="69.599999999999994" customHeight="1">
      <c r="A3" s="878" t="s">
        <v>440</v>
      </c>
      <c r="B3" s="879"/>
      <c r="C3" s="880" t="s">
        <v>441</v>
      </c>
      <c r="D3" s="881"/>
      <c r="E3" s="881"/>
      <c r="F3" s="881"/>
      <c r="G3" s="881"/>
      <c r="H3" s="881"/>
      <c r="I3" s="881"/>
      <c r="J3" s="881"/>
      <c r="K3" s="881"/>
      <c r="L3" s="881"/>
      <c r="M3" s="881"/>
      <c r="N3" s="879"/>
      <c r="O3" s="606" t="s">
        <v>442</v>
      </c>
      <c r="P3" s="607" t="s">
        <v>443</v>
      </c>
    </row>
    <row r="4" spans="1:17" ht="54.6" customHeight="1">
      <c r="A4" s="608" t="s">
        <v>9</v>
      </c>
      <c r="B4" s="609" t="s">
        <v>444</v>
      </c>
      <c r="C4" s="609" t="s">
        <v>471</v>
      </c>
      <c r="D4" s="609" t="s">
        <v>472</v>
      </c>
      <c r="E4" s="609" t="s">
        <v>473</v>
      </c>
      <c r="F4" s="609" t="s">
        <v>474</v>
      </c>
      <c r="G4" s="609" t="s">
        <v>475</v>
      </c>
      <c r="H4" s="609" t="s">
        <v>476</v>
      </c>
      <c r="I4" s="609" t="s">
        <v>477</v>
      </c>
      <c r="J4" s="609" t="s">
        <v>478</v>
      </c>
      <c r="K4" s="609" t="s">
        <v>479</v>
      </c>
      <c r="L4" s="609" t="s">
        <v>480</v>
      </c>
      <c r="M4" s="609" t="s">
        <v>481</v>
      </c>
      <c r="N4" s="609" t="s">
        <v>482</v>
      </c>
      <c r="O4" s="606">
        <f>+SUM(O5:O24)</f>
        <v>1126.2670184343342</v>
      </c>
      <c r="P4" s="610">
        <f>O4/$O$27*100</f>
        <v>6.6620286996628861</v>
      </c>
    </row>
    <row r="5" spans="1:17" s="596" customFormat="1" ht="30" customHeight="1">
      <c r="A5" s="611">
        <v>1.1000000000000001</v>
      </c>
      <c r="B5" s="612" t="s">
        <v>12</v>
      </c>
      <c r="C5" s="613"/>
      <c r="D5" s="613"/>
      <c r="E5" s="613"/>
      <c r="F5" s="613"/>
      <c r="G5" s="613"/>
      <c r="H5" s="613"/>
      <c r="I5" s="613"/>
      <c r="J5" s="613"/>
      <c r="K5" s="613"/>
      <c r="L5" s="613"/>
      <c r="M5" s="613"/>
      <c r="N5" s="613"/>
      <c r="O5" s="613"/>
      <c r="P5" s="614"/>
      <c r="Q5" s="594"/>
    </row>
    <row r="6" spans="1:17" s="596" customFormat="1" ht="26.25" customHeight="1">
      <c r="A6" s="597" t="s">
        <v>13</v>
      </c>
      <c r="B6" s="598" t="s">
        <v>450</v>
      </c>
      <c r="C6" s="615">
        <v>5.7736781549999998E-2</v>
      </c>
      <c r="D6" s="615">
        <v>5.505134985E-2</v>
      </c>
      <c r="E6" s="615">
        <v>6.310764495E-2</v>
      </c>
      <c r="F6" s="615">
        <v>0.13292886914999999</v>
      </c>
      <c r="G6" s="615">
        <v>0.21080638844999999</v>
      </c>
      <c r="H6" s="615">
        <v>9.9360972899999997E-2</v>
      </c>
      <c r="I6" s="615">
        <v>6.8478508349999995E-2</v>
      </c>
      <c r="J6" s="615">
        <v>6.0422213250000002E-2</v>
      </c>
      <c r="K6" s="615">
        <v>6.310764495E-2</v>
      </c>
      <c r="L6" s="615">
        <v>3.6253327949999997E-2</v>
      </c>
      <c r="M6" s="615">
        <v>6.5793076650000004E-2</v>
      </c>
      <c r="N6" s="615">
        <v>4.4980980975000001E-2</v>
      </c>
      <c r="O6" s="616">
        <f>+'1.1.1 DO Máy phát điện'!$N$25</f>
        <v>0.95802775897500003</v>
      </c>
      <c r="P6" s="617">
        <f t="shared" ref="P6:P15" si="0">O6/$O$27*100</f>
        <v>5.666869686229108E-3</v>
      </c>
      <c r="Q6" s="594"/>
    </row>
    <row r="7" spans="1:17" s="596" customFormat="1" ht="26.25" customHeight="1">
      <c r="A7" s="597" t="s">
        <v>18</v>
      </c>
      <c r="B7" s="598" t="s">
        <v>19</v>
      </c>
      <c r="C7" s="615">
        <v>6.5674492505600002</v>
      </c>
      <c r="D7" s="615">
        <v>5.229464024576</v>
      </c>
      <c r="E7" s="615">
        <v>6.7099406443519998</v>
      </c>
      <c r="F7" s="615">
        <v>6.683055475712</v>
      </c>
      <c r="G7" s="615">
        <v>8.1796631966719993</v>
      </c>
      <c r="H7" s="615">
        <v>6.0933741102079999</v>
      </c>
      <c r="I7" s="615">
        <v>7.806258076672</v>
      </c>
      <c r="J7" s="615">
        <v>7.3055964917759999</v>
      </c>
      <c r="K7" s="615">
        <v>6.7643084298240002</v>
      </c>
      <c r="L7" s="615">
        <v>7.64136237568</v>
      </c>
      <c r="M7" s="615">
        <v>7.4322555084799999</v>
      </c>
      <c r="N7" s="615">
        <v>7.1096334847999998</v>
      </c>
      <c r="O7" s="616">
        <f>+'1.1.2 Gas LPG SX'!$N$25</f>
        <v>83.522361069311998</v>
      </c>
      <c r="P7" s="617">
        <f t="shared" si="0"/>
        <v>0.4940465781204128</v>
      </c>
      <c r="Q7" s="594"/>
    </row>
    <row r="8" spans="1:17" s="596" customFormat="1" ht="26.25" customHeight="1">
      <c r="A8" s="597" t="s">
        <v>20</v>
      </c>
      <c r="B8" s="598" t="s">
        <v>21</v>
      </c>
      <c r="C8" s="615">
        <v>0.46683306384000001</v>
      </c>
      <c r="D8" s="615">
        <v>0.46683306384000001</v>
      </c>
      <c r="E8" s="615">
        <v>0.50274329951999996</v>
      </c>
      <c r="F8" s="615">
        <v>0.46683306384000001</v>
      </c>
      <c r="G8" s="615">
        <v>0.46683306384000001</v>
      </c>
      <c r="H8" s="615">
        <v>0.43092282815999999</v>
      </c>
      <c r="I8" s="615">
        <v>0.61047400655999995</v>
      </c>
      <c r="J8" s="615">
        <v>0.43092282815999999</v>
      </c>
      <c r="K8" s="615">
        <v>0.43092282815999999</v>
      </c>
      <c r="L8" s="615">
        <v>0.68229447791999998</v>
      </c>
      <c r="M8" s="615">
        <v>0.57456377087999999</v>
      </c>
      <c r="N8" s="615">
        <v>0.71820471360000004</v>
      </c>
      <c r="O8" s="616">
        <f>+'1.1.3 Gas LPG Nhà ăn'!$N$25</f>
        <v>6.2483810083200009</v>
      </c>
      <c r="P8" s="617">
        <f t="shared" si="0"/>
        <v>3.696005735986433E-2</v>
      </c>
      <c r="Q8" s="594"/>
    </row>
    <row r="9" spans="1:17" s="596" customFormat="1" ht="26.25" customHeight="1">
      <c r="A9" s="597" t="s">
        <v>22</v>
      </c>
      <c r="B9" s="598" t="s">
        <v>23</v>
      </c>
      <c r="C9" s="615">
        <v>0</v>
      </c>
      <c r="D9" s="615">
        <v>2.75E-2</v>
      </c>
      <c r="E9" s="615">
        <v>0</v>
      </c>
      <c r="F9" s="615">
        <v>2.75E-2</v>
      </c>
      <c r="G9" s="615">
        <v>2.75E-2</v>
      </c>
      <c r="H9" s="615">
        <v>5.5E-2</v>
      </c>
      <c r="I9" s="615">
        <v>0</v>
      </c>
      <c r="J9" s="615">
        <v>8.2500000000000004E-2</v>
      </c>
      <c r="K9" s="615">
        <v>0</v>
      </c>
      <c r="L9" s="615">
        <v>5.5E-2</v>
      </c>
      <c r="M9" s="615">
        <v>0</v>
      </c>
      <c r="N9" s="615">
        <v>0</v>
      </c>
      <c r="O9" s="616">
        <f>+'1.1.4 Methanol'!$F$25</f>
        <v>0.27500000000000002</v>
      </c>
      <c r="P9" s="617">
        <f t="shared" si="0"/>
        <v>1.6266638926833762E-3</v>
      </c>
      <c r="Q9" s="594"/>
    </row>
    <row r="10" spans="1:17" s="596" customFormat="1" ht="48.75" customHeight="1">
      <c r="A10" s="597" t="s">
        <v>25</v>
      </c>
      <c r="B10" s="598" t="s">
        <v>1100</v>
      </c>
      <c r="C10" s="615">
        <v>2.2863084695999999E-2</v>
      </c>
      <c r="D10" s="615">
        <v>0</v>
      </c>
      <c r="E10" s="615">
        <v>2.2863084695999999E-2</v>
      </c>
      <c r="F10" s="615">
        <v>2.2863084695999999E-2</v>
      </c>
      <c r="G10" s="615">
        <v>0</v>
      </c>
      <c r="H10" s="615">
        <v>2.2863084695999999E-2</v>
      </c>
      <c r="I10" s="615">
        <v>5.0298786331200003E-2</v>
      </c>
      <c r="J10" s="615">
        <v>4.5726169391999999E-2</v>
      </c>
      <c r="K10" s="615">
        <v>4.5726169391999999E-2</v>
      </c>
      <c r="L10" s="615">
        <v>2.2863084695999999E-2</v>
      </c>
      <c r="M10" s="615">
        <v>4.5726169391999999E-2</v>
      </c>
      <c r="N10" s="615">
        <v>4.5726169391999999E-2</v>
      </c>
      <c r="O10" s="616">
        <f>+'1.1.5 Xăng MCC '!$N$25</f>
        <v>0.3475188873792</v>
      </c>
      <c r="P10" s="617">
        <f t="shared" si="0"/>
        <v>2.0556233677281642E-3</v>
      </c>
      <c r="Q10" s="594"/>
    </row>
    <row r="11" spans="1:17" s="596" customFormat="1" ht="30" customHeight="1">
      <c r="A11" s="597" t="s">
        <v>27</v>
      </c>
      <c r="B11" s="598" t="s">
        <v>346</v>
      </c>
      <c r="C11" s="615">
        <v>40.262710037760002</v>
      </c>
      <c r="D11" s="615">
        <v>18.303955232940002</v>
      </c>
      <c r="E11" s="615">
        <v>34.261249538580003</v>
      </c>
      <c r="F11" s="615">
        <v>43.890048683895003</v>
      </c>
      <c r="G11" s="615">
        <v>47.574805629315001</v>
      </c>
      <c r="H11" s="615">
        <v>33.200259225704997</v>
      </c>
      <c r="I11" s="615">
        <v>51.554143414545003</v>
      </c>
      <c r="J11" s="615">
        <v>46.154326833959999</v>
      </c>
      <c r="K11" s="615">
        <v>42.352236842175003</v>
      </c>
      <c r="L11" s="615">
        <v>52.899728776049997</v>
      </c>
      <c r="M11" s="615">
        <v>50.490656653875</v>
      </c>
      <c r="N11" s="615">
        <v>51.629036848395003</v>
      </c>
      <c r="O11" s="616">
        <f>+'1.1.6 Dầu hỏa'!$O$25</f>
        <v>512.57315771719504</v>
      </c>
      <c r="P11" s="617">
        <f t="shared" si="0"/>
        <v>3.0319427200627729</v>
      </c>
      <c r="Q11" s="594"/>
    </row>
    <row r="12" spans="1:17" s="596" customFormat="1" ht="30" customHeight="1">
      <c r="A12" s="597" t="s">
        <v>29</v>
      </c>
      <c r="B12" s="598" t="s">
        <v>30</v>
      </c>
      <c r="C12" s="615">
        <v>0.10108</v>
      </c>
      <c r="D12" s="615">
        <v>0.1444</v>
      </c>
      <c r="E12" s="615">
        <v>0.1444</v>
      </c>
      <c r="F12" s="615">
        <v>0.141512</v>
      </c>
      <c r="G12" s="615">
        <v>0.1444</v>
      </c>
      <c r="H12" s="615">
        <v>0.1444</v>
      </c>
      <c r="I12" s="615">
        <v>7.22E-2</v>
      </c>
      <c r="J12" s="615">
        <v>0</v>
      </c>
      <c r="K12" s="615">
        <v>2.8879999999999999E-2</v>
      </c>
      <c r="L12" s="615">
        <v>7.22E-2</v>
      </c>
      <c r="M12" s="615">
        <v>7.22E-2</v>
      </c>
      <c r="N12" s="615">
        <v>2.8879999999999999E-2</v>
      </c>
      <c r="O12" s="616">
        <f>+'1.1.7 Nước thủy tinh'!$F$25</f>
        <v>1.094552</v>
      </c>
      <c r="P12" s="617">
        <f t="shared" si="0"/>
        <v>6.474429880234089E-3</v>
      </c>
      <c r="Q12" s="594"/>
    </row>
    <row r="13" spans="1:17" s="596" customFormat="1" ht="42.75" customHeight="1">
      <c r="A13" s="597" t="s">
        <v>31</v>
      </c>
      <c r="B13" s="598" t="s">
        <v>347</v>
      </c>
      <c r="C13" s="615">
        <v>0.74993849999999995</v>
      </c>
      <c r="D13" s="615">
        <v>0.58328550000000001</v>
      </c>
      <c r="E13" s="615">
        <v>1.166571</v>
      </c>
      <c r="F13" s="615">
        <v>1.4721015</v>
      </c>
      <c r="G13" s="615">
        <v>1.944285</v>
      </c>
      <c r="H13" s="615">
        <v>0.50730375000000005</v>
      </c>
      <c r="I13" s="615">
        <v>0.58486925000000001</v>
      </c>
      <c r="J13" s="615">
        <v>0.280306</v>
      </c>
      <c r="K13" s="615">
        <v>0.95950899999999995</v>
      </c>
      <c r="L13" s="615">
        <v>0.43663049999999998</v>
      </c>
      <c r="M13" s="615">
        <v>0.52018324999999999</v>
      </c>
      <c r="N13" s="615">
        <v>0.73580325000000002</v>
      </c>
      <c r="O13" s="616">
        <f>+'1.1.8. Sơn lõi KOALIDPASTE94i'!$Q$26+'1.1.8.Sơn lõi khuôn BR-750'!$S$26</f>
        <v>9.9407864999999997</v>
      </c>
      <c r="P13" s="617">
        <f t="shared" si="0"/>
        <v>5.8801158052452195E-2</v>
      </c>
      <c r="Q13" s="594"/>
    </row>
    <row r="14" spans="1:17" s="596" customFormat="1" ht="30" customHeight="1">
      <c r="A14" s="597" t="s">
        <v>33</v>
      </c>
      <c r="B14" s="598" t="s">
        <v>36</v>
      </c>
      <c r="C14" s="615">
        <v>3.08061439488</v>
      </c>
      <c r="D14" s="615">
        <v>2.0537429299199998</v>
      </c>
      <c r="E14" s="615">
        <v>3.0660694732799998</v>
      </c>
      <c r="F14" s="615">
        <v>4.8885481497600001</v>
      </c>
      <c r="G14" s="615">
        <v>3.7598622335999998</v>
      </c>
      <c r="H14" s="615">
        <v>5.2987149388799999</v>
      </c>
      <c r="I14" s="615">
        <v>5.9866897305600002</v>
      </c>
      <c r="J14" s="615">
        <v>6.46812663552</v>
      </c>
      <c r="K14" s="615">
        <v>6.6688465535999999</v>
      </c>
      <c r="L14" s="615">
        <v>6.0361424640000001</v>
      </c>
      <c r="M14" s="615">
        <v>6.3270408959999997</v>
      </c>
      <c r="N14" s="615">
        <v>5.3816209920000002</v>
      </c>
      <c r="O14" s="616">
        <f>+'1.1.9 Cồn Công nghiệp'!$G$25</f>
        <v>59.016019392000004</v>
      </c>
      <c r="P14" s="617">
        <f t="shared" si="0"/>
        <v>0.34908810121770301</v>
      </c>
      <c r="Q14" s="594"/>
    </row>
    <row r="15" spans="1:17" s="596" customFormat="1" ht="30" customHeight="1">
      <c r="A15" s="597" t="s">
        <v>35</v>
      </c>
      <c r="B15" s="598" t="s">
        <v>349</v>
      </c>
      <c r="C15" s="615">
        <v>9.0697399999999995</v>
      </c>
      <c r="D15" s="615">
        <v>5.9494999999999996</v>
      </c>
      <c r="E15" s="615">
        <v>9.3910549999999997</v>
      </c>
      <c r="F15" s="615">
        <v>7.6906480000000004</v>
      </c>
      <c r="G15" s="615">
        <v>18.46697</v>
      </c>
      <c r="H15" s="615">
        <v>11.663779999999999</v>
      </c>
      <c r="I15" s="615">
        <v>7.9198000000000004</v>
      </c>
      <c r="J15" s="615">
        <v>9.3406500000000001</v>
      </c>
      <c r="K15" s="615">
        <v>15.105969999999999</v>
      </c>
      <c r="L15" s="615">
        <v>7.9447749999999999</v>
      </c>
      <c r="M15" s="615">
        <v>8.0446749999999998</v>
      </c>
      <c r="N15" s="615">
        <v>7.6634200000000003</v>
      </c>
      <c r="O15" s="616">
        <f>+'1.1.10. CO2 kết dính thao'!$J$22</f>
        <v>118.25098300000001</v>
      </c>
      <c r="P15" s="617">
        <f t="shared" si="0"/>
        <v>0.69947128843787543</v>
      </c>
      <c r="Q15" s="594"/>
    </row>
    <row r="16" spans="1:17" s="596" customFormat="1" ht="27" customHeight="1">
      <c r="A16" s="599" t="s">
        <v>39</v>
      </c>
      <c r="B16" s="618" t="s">
        <v>350</v>
      </c>
      <c r="C16" s="613"/>
      <c r="D16" s="613"/>
      <c r="E16" s="613"/>
      <c r="F16" s="613"/>
      <c r="G16" s="613"/>
      <c r="H16" s="613"/>
      <c r="I16" s="613"/>
      <c r="J16" s="613"/>
      <c r="K16" s="613"/>
      <c r="L16" s="613"/>
      <c r="M16" s="613"/>
      <c r="N16" s="613"/>
      <c r="O16" s="613"/>
      <c r="P16" s="619"/>
      <c r="Q16" s="594"/>
    </row>
    <row r="17" spans="1:17" s="596" customFormat="1" ht="30" customHeight="1">
      <c r="A17" s="597" t="s">
        <v>41</v>
      </c>
      <c r="B17" s="600" t="s">
        <v>351</v>
      </c>
      <c r="C17" s="620">
        <v>4.3433063110332002</v>
      </c>
      <c r="D17" s="620">
        <v>2.4856984958777999</v>
      </c>
      <c r="E17" s="620">
        <v>4.0411117382328001</v>
      </c>
      <c r="F17" s="620">
        <v>3.7122529384205998</v>
      </c>
      <c r="G17" s="620">
        <v>3.9877832842092</v>
      </c>
      <c r="H17" s="620">
        <v>3.8218725383579999</v>
      </c>
      <c r="I17" s="620">
        <v>4.2247986354252003</v>
      </c>
      <c r="J17" s="620">
        <v>5.2765542564462002</v>
      </c>
      <c r="K17" s="620">
        <v>4.1270298030486003</v>
      </c>
      <c r="L17" s="620">
        <v>2.6901242363016</v>
      </c>
      <c r="M17" s="620">
        <v>3.2145207008669998</v>
      </c>
      <c r="N17" s="620">
        <v>3.5907825709223999</v>
      </c>
      <c r="O17" s="616">
        <f>+'1.2.1 DO Xe nângNB Offroad'!$N$25</f>
        <v>45.515835509142605</v>
      </c>
      <c r="P17" s="617">
        <f>O17/$O$27*100</f>
        <v>0.26923260424741141</v>
      </c>
      <c r="Q17" s="594"/>
    </row>
    <row r="18" spans="1:17" s="596" customFormat="1" ht="26.25" customHeight="1">
      <c r="A18" s="597" t="s">
        <v>43</v>
      </c>
      <c r="B18" s="601" t="s">
        <v>353</v>
      </c>
      <c r="C18" s="615">
        <v>22.436191003262401</v>
      </c>
      <c r="D18" s="615">
        <v>12.172422094232397</v>
      </c>
      <c r="E18" s="615">
        <v>18.254554822576804</v>
      </c>
      <c r="F18" s="615">
        <v>19.034873147581198</v>
      </c>
      <c r="G18" s="615">
        <v>20.6199797102208</v>
      </c>
      <c r="H18" s="615">
        <v>15.9815718270936</v>
      </c>
      <c r="I18" s="615">
        <v>21.623246128083601</v>
      </c>
      <c r="J18" s="615">
        <v>20.108830424155201</v>
      </c>
      <c r="K18" s="615">
        <v>16.405716979360797</v>
      </c>
      <c r="L18" s="615">
        <v>24.3312497925588</v>
      </c>
      <c r="M18" s="615">
        <v>22.36278126537</v>
      </c>
      <c r="N18" s="615">
        <v>24.070237391163598</v>
      </c>
      <c r="O18" s="616">
        <f>'1.2.2 DOXevậntảiBNOnroad'!N25</f>
        <v>237.40165458565917</v>
      </c>
      <c r="P18" s="617">
        <f>O18/$O$27*100</f>
        <v>1.4042643621010276</v>
      </c>
      <c r="Q18" s="594"/>
    </row>
    <row r="19" spans="1:17" s="596" customFormat="1" ht="26.25" customHeight="1">
      <c r="A19" s="597" t="s">
        <v>355</v>
      </c>
      <c r="B19" s="601" t="s">
        <v>356</v>
      </c>
      <c r="C19" s="615">
        <v>0.67026109119833399</v>
      </c>
      <c r="D19" s="615">
        <v>0.67096027520111401</v>
      </c>
      <c r="E19" s="615">
        <v>0.94930542670783202</v>
      </c>
      <c r="F19" s="615">
        <v>0.87316428880509001</v>
      </c>
      <c r="G19" s="615">
        <v>1.0759276496112899</v>
      </c>
      <c r="H19" s="615">
        <v>1.03761236625895</v>
      </c>
      <c r="I19" s="615">
        <v>0.98349552444377397</v>
      </c>
      <c r="J19" s="615">
        <v>0.84724786843537803</v>
      </c>
      <c r="K19" s="615">
        <v>0.80401499093014805</v>
      </c>
      <c r="L19" s="615">
        <v>1.19005778499841</v>
      </c>
      <c r="M19" s="615">
        <v>1.4512030100367399</v>
      </c>
      <c r="N19" s="615">
        <v>1.3079402078671201</v>
      </c>
      <c r="O19" s="616">
        <f>+'1.2.3 Xăng Xe Onroad'!$N$25</f>
        <v>11.86119048449418</v>
      </c>
      <c r="P19" s="617">
        <f>O19/$O$27*100</f>
        <v>7.0160619219513901E-2</v>
      </c>
      <c r="Q19" s="594"/>
    </row>
    <row r="20" spans="1:17" s="596" customFormat="1" ht="26.25" customHeight="1">
      <c r="A20" s="602" t="s">
        <v>44</v>
      </c>
      <c r="B20" s="603" t="s">
        <v>357</v>
      </c>
      <c r="C20" s="615"/>
      <c r="D20" s="615"/>
      <c r="E20" s="615"/>
      <c r="F20" s="615"/>
      <c r="G20" s="615"/>
      <c r="H20" s="615"/>
      <c r="I20" s="615"/>
      <c r="J20" s="615"/>
      <c r="K20" s="615"/>
      <c r="L20" s="615"/>
      <c r="M20" s="615"/>
      <c r="N20" s="615"/>
      <c r="O20" s="616"/>
      <c r="P20" s="617"/>
      <c r="Q20" s="594"/>
    </row>
    <row r="21" spans="1:17" s="596" customFormat="1" ht="26.25" customHeight="1">
      <c r="A21" s="597" t="s">
        <v>46</v>
      </c>
      <c r="B21" s="601" t="s">
        <v>49</v>
      </c>
      <c r="C21" s="621">
        <v>6.1666666666666695E-4</v>
      </c>
      <c r="D21" s="621">
        <v>6.1666666666666695E-4</v>
      </c>
      <c r="E21" s="621">
        <v>6.1666666666666695E-4</v>
      </c>
      <c r="F21" s="621">
        <v>6.1666666666666695E-4</v>
      </c>
      <c r="G21" s="621">
        <v>6.1666666666666695E-4</v>
      </c>
      <c r="H21" s="621">
        <v>6.1666666666666695E-4</v>
      </c>
      <c r="I21" s="621">
        <v>6.1666666666666695E-4</v>
      </c>
      <c r="J21" s="621">
        <v>6.1666666666666695E-4</v>
      </c>
      <c r="K21" s="621">
        <v>6.1666666666666695E-4</v>
      </c>
      <c r="L21" s="621">
        <v>6.1666666666666695E-4</v>
      </c>
      <c r="M21" s="621">
        <v>6.1666666666666695E-4</v>
      </c>
      <c r="N21" s="621">
        <v>6.1666666666666695E-4</v>
      </c>
      <c r="O21" s="616">
        <f>+'1.3.1. Bình chữacháyCO2'!$G$22</f>
        <v>7.3999999999999995E-3</v>
      </c>
      <c r="P21" s="622">
        <f>O21/$O$27*100</f>
        <v>4.3772046566752665E-5</v>
      </c>
      <c r="Q21" s="594"/>
    </row>
    <row r="22" spans="1:17" s="596" customFormat="1" ht="26.25" customHeight="1">
      <c r="A22" s="597" t="s">
        <v>47</v>
      </c>
      <c r="B22" s="601" t="s">
        <v>52</v>
      </c>
      <c r="C22" s="882">
        <f>+'1.3.2.Môi chất lạnh'!$T$60</f>
        <v>12.593820000000001</v>
      </c>
      <c r="D22" s="883"/>
      <c r="E22" s="883"/>
      <c r="F22" s="883"/>
      <c r="G22" s="883"/>
      <c r="H22" s="883"/>
      <c r="I22" s="883"/>
      <c r="J22" s="883"/>
      <c r="K22" s="883"/>
      <c r="L22" s="883"/>
      <c r="M22" s="883"/>
      <c r="N22" s="884"/>
      <c r="O22" s="616">
        <f>+'1.3.2.Môi chất lạnh'!$T$60</f>
        <v>12.593820000000001</v>
      </c>
      <c r="P22" s="617">
        <f>O22/$O$27*100</f>
        <v>7.4494226418013662E-2</v>
      </c>
      <c r="Q22" s="594"/>
    </row>
    <row r="23" spans="1:17" s="596" customFormat="1" ht="26.25" customHeight="1">
      <c r="A23" s="597" t="s">
        <v>358</v>
      </c>
      <c r="B23" s="601" t="s">
        <v>55</v>
      </c>
      <c r="C23" s="615">
        <v>2.1661841089506</v>
      </c>
      <c r="D23" s="615">
        <v>1.36795167956828</v>
      </c>
      <c r="E23" s="615">
        <v>2.07999638234479</v>
      </c>
      <c r="F23" s="615">
        <v>1.9721318189004899</v>
      </c>
      <c r="G23" s="615">
        <v>2.3384829482103702</v>
      </c>
      <c r="H23" s="615">
        <v>1.95719626261826</v>
      </c>
      <c r="I23" s="615">
        <v>2.6540654392368599</v>
      </c>
      <c r="J23" s="615">
        <v>2.5624173215149399</v>
      </c>
      <c r="K23" s="615">
        <v>2.21377761427701</v>
      </c>
      <c r="L23" s="615">
        <v>2.4905291755619099</v>
      </c>
      <c r="M23" s="615">
        <v>2.3781237849867498</v>
      </c>
      <c r="N23" s="615">
        <v>2.4237039856867799</v>
      </c>
      <c r="O23" s="616">
        <f>+'1.3.3 BỂ XỬ LÝ NƯỚC THẢI TT '!$N$25</f>
        <v>26.604560521857035</v>
      </c>
      <c r="P23" s="617">
        <f>O23/$O$27*100</f>
        <v>0.15736973811496158</v>
      </c>
      <c r="Q23" s="594"/>
    </row>
    <row r="24" spans="1:17" s="596" customFormat="1" ht="45.6" customHeight="1">
      <c r="A24" s="604" t="s">
        <v>359</v>
      </c>
      <c r="B24" s="601" t="s">
        <v>57</v>
      </c>
      <c r="C24" s="615"/>
      <c r="D24" s="615"/>
      <c r="E24" s="615"/>
      <c r="F24" s="615"/>
      <c r="G24" s="615"/>
      <c r="H24" s="615"/>
      <c r="I24" s="615">
        <v>5.577E-2</v>
      </c>
      <c r="J24" s="615"/>
      <c r="K24" s="615"/>
      <c r="L24" s="615"/>
      <c r="M24" s="615"/>
      <c r="N24" s="615"/>
      <c r="O24" s="616">
        <f>+'1.3.4 Phân bón'!$H$26</f>
        <v>5.5769999999999952E-2</v>
      </c>
      <c r="P24" s="623">
        <f>O24/$O$27*100</f>
        <v>3.2988743743618835E-4</v>
      </c>
      <c r="Q24" s="594"/>
    </row>
    <row r="25" spans="1:17" s="596" customFormat="1" ht="30" customHeight="1">
      <c r="A25" s="599" t="s">
        <v>61</v>
      </c>
      <c r="B25" s="618" t="s">
        <v>62</v>
      </c>
      <c r="C25" s="613"/>
      <c r="D25" s="613"/>
      <c r="E25" s="613"/>
      <c r="F25" s="613"/>
      <c r="G25" s="613"/>
      <c r="H25" s="613"/>
      <c r="I25" s="613"/>
      <c r="J25" s="613"/>
      <c r="K25" s="613"/>
      <c r="L25" s="613"/>
      <c r="M25" s="613"/>
      <c r="N25" s="613"/>
      <c r="O25" s="613"/>
      <c r="P25" s="614"/>
      <c r="Q25" s="594"/>
    </row>
    <row r="26" spans="1:17" s="596" customFormat="1" ht="45.6" customHeight="1">
      <c r="A26" s="597" t="s">
        <v>63</v>
      </c>
      <c r="B26" s="601" t="s">
        <v>1153</v>
      </c>
      <c r="C26" s="615">
        <v>1200.7136832000001</v>
      </c>
      <c r="D26" s="615">
        <v>699.13275392000003</v>
      </c>
      <c r="E26" s="615">
        <v>1253.1777114106101</v>
      </c>
      <c r="F26" s="615">
        <v>1229.17813045501</v>
      </c>
      <c r="G26" s="615">
        <v>1343.1964274291499</v>
      </c>
      <c r="H26" s="615">
        <v>1212.8833825700899</v>
      </c>
      <c r="I26" s="615">
        <v>1428.5760511999999</v>
      </c>
      <c r="J26" s="615">
        <v>1586.8328320000001</v>
      </c>
      <c r="K26" s="615">
        <v>1326.5351872000001</v>
      </c>
      <c r="L26" s="615">
        <v>1518.3663423999999</v>
      </c>
      <c r="M26" s="615">
        <v>1485.4280960000001</v>
      </c>
      <c r="N26" s="615">
        <v>1495.4789184000001</v>
      </c>
      <c r="O26" s="616">
        <f>+'2.1. MUA ĐIỆN NGOÀI '!$H$23</f>
        <v>15779.499516184856</v>
      </c>
      <c r="P26" s="610">
        <f>O26/$O$27*100</f>
        <v>93.337971300337117</v>
      </c>
      <c r="Q26" s="594"/>
    </row>
    <row r="27" spans="1:17" ht="33" customHeight="1">
      <c r="A27" s="865" t="s">
        <v>458</v>
      </c>
      <c r="B27" s="865"/>
      <c r="C27" s="865"/>
      <c r="D27" s="865"/>
      <c r="E27" s="865"/>
      <c r="F27" s="865"/>
      <c r="G27" s="865"/>
      <c r="H27" s="865"/>
      <c r="I27" s="865"/>
      <c r="J27" s="865"/>
      <c r="K27" s="865"/>
      <c r="L27" s="865"/>
      <c r="M27" s="865"/>
      <c r="N27" s="865"/>
      <c r="O27" s="624">
        <f>+O4+O26</f>
        <v>16905.76653461919</v>
      </c>
      <c r="P27" s="625">
        <f>+SUM(P6:P26)</f>
        <v>100</v>
      </c>
    </row>
    <row r="28" spans="1:17" ht="33" customHeight="1">
      <c r="A28" s="865" t="s">
        <v>461</v>
      </c>
      <c r="B28" s="865"/>
      <c r="C28" s="865"/>
      <c r="D28" s="865"/>
      <c r="E28" s="865"/>
      <c r="F28" s="865"/>
      <c r="G28" s="865"/>
      <c r="H28" s="865"/>
      <c r="I28" s="865"/>
      <c r="J28" s="865"/>
      <c r="K28" s="865"/>
      <c r="L28" s="865"/>
      <c r="M28" s="865"/>
      <c r="N28" s="865"/>
      <c r="O28" s="624">
        <v>25471.498</v>
      </c>
      <c r="P28" s="626" t="s">
        <v>462</v>
      </c>
    </row>
    <row r="29" spans="1:17" ht="33" customHeight="1">
      <c r="A29" s="865" t="s">
        <v>483</v>
      </c>
      <c r="B29" s="865"/>
      <c r="C29" s="865"/>
      <c r="D29" s="865"/>
      <c r="E29" s="865"/>
      <c r="F29" s="865"/>
      <c r="G29" s="865"/>
      <c r="H29" s="865"/>
      <c r="I29" s="865"/>
      <c r="J29" s="865"/>
      <c r="K29" s="865"/>
      <c r="L29" s="865"/>
      <c r="M29" s="865"/>
      <c r="N29" s="865"/>
      <c r="O29" s="624">
        <f>+O27/O28</f>
        <v>0.66371308568578058</v>
      </c>
      <c r="P29" s="626" t="s">
        <v>484</v>
      </c>
    </row>
    <row r="30" spans="1:17" ht="33" customHeight="1">
      <c r="A30" s="627"/>
      <c r="B30" s="627"/>
      <c r="C30" s="627"/>
      <c r="D30" s="627"/>
      <c r="E30" s="627"/>
      <c r="F30" s="627"/>
      <c r="G30" s="627"/>
      <c r="H30" s="627"/>
      <c r="I30" s="627"/>
      <c r="J30" s="627"/>
      <c r="K30" s="627"/>
      <c r="L30" s="627"/>
      <c r="M30" s="866" t="s">
        <v>485</v>
      </c>
      <c r="N30" s="866"/>
      <c r="O30" s="628">
        <v>812.38945532304501</v>
      </c>
      <c r="P30" s="629" t="s">
        <v>486</v>
      </c>
    </row>
    <row r="31" spans="1:17" ht="33" customHeight="1">
      <c r="A31" s="627"/>
      <c r="B31" s="627"/>
      <c r="C31" s="627"/>
      <c r="D31" s="627"/>
      <c r="E31" s="627"/>
      <c r="F31" s="627"/>
      <c r="G31" s="627"/>
      <c r="H31" s="627"/>
      <c r="I31" s="627"/>
      <c r="J31" s="627"/>
      <c r="K31" s="867" t="s">
        <v>487</v>
      </c>
      <c r="L31" s="867"/>
      <c r="M31" s="867"/>
      <c r="N31" s="867"/>
      <c r="O31" s="628">
        <f>O27/O30</f>
        <v>20.809928567938694</v>
      </c>
      <c r="P31" s="629" t="s">
        <v>488</v>
      </c>
    </row>
  </sheetData>
  <mergeCells count="11">
    <mergeCell ref="A29:N29"/>
    <mergeCell ref="M30:N30"/>
    <mergeCell ref="K31:N31"/>
    <mergeCell ref="A1:B2"/>
    <mergeCell ref="O1:P2"/>
    <mergeCell ref="C1:N2"/>
    <mergeCell ref="A3:B3"/>
    <mergeCell ref="C3:N3"/>
    <mergeCell ref="C22:N22"/>
    <mergeCell ref="A27:N27"/>
    <mergeCell ref="A28:N28"/>
  </mergeCells>
  <pageMargins left="0.18" right="0.18" top="0.42" bottom="0.28999999999999998" header="0.16" footer="0.09"/>
  <pageSetup paperSize="9" scale="53" fitToHeight="0"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pageSetUpPr fitToPage="1"/>
  </sheetPr>
  <dimension ref="A1:N41"/>
  <sheetViews>
    <sheetView topLeftCell="A16" zoomScale="50" zoomScaleNormal="50" workbookViewId="0">
      <selection activeCell="M1" sqref="M1:N3"/>
    </sheetView>
  </sheetViews>
  <sheetFormatPr defaultColWidth="9.28515625" defaultRowHeight="14.25"/>
  <cols>
    <col min="1" max="1" width="8.7109375" style="18" customWidth="1"/>
    <col min="2" max="2" width="24.85546875" style="18" customWidth="1"/>
    <col min="3" max="3" width="15.7109375" style="18" customWidth="1"/>
    <col min="4" max="4" width="13" style="18" customWidth="1"/>
    <col min="5" max="5" width="11" style="18" customWidth="1"/>
    <col min="6" max="7" width="12.28515625" style="18" customWidth="1"/>
    <col min="8" max="8" width="8" style="18" customWidth="1"/>
    <col min="9" max="9" width="15" style="18" customWidth="1"/>
    <col min="10" max="12" width="17" style="18" customWidth="1"/>
    <col min="13" max="13" width="11.42578125" style="18" customWidth="1"/>
    <col min="14" max="14" width="17" style="18" customWidth="1"/>
    <col min="15" max="15" width="23.28515625" style="18" customWidth="1"/>
    <col min="16" max="16384" width="9.28515625" style="18"/>
  </cols>
  <sheetData>
    <row r="1" spans="1:14" ht="25.9" customHeight="1">
      <c r="A1" s="885"/>
      <c r="B1" s="886"/>
      <c r="C1" s="885" t="s">
        <v>489</v>
      </c>
      <c r="D1" s="891"/>
      <c r="E1" s="891"/>
      <c r="F1" s="891"/>
      <c r="G1" s="891"/>
      <c r="H1" s="891"/>
      <c r="I1" s="891"/>
      <c r="J1" s="891"/>
      <c r="K1" s="891"/>
      <c r="L1" s="886"/>
      <c r="M1" s="885" t="s">
        <v>1107</v>
      </c>
      <c r="N1" s="886"/>
    </row>
    <row r="2" spans="1:14" ht="25.9" customHeight="1">
      <c r="A2" s="887"/>
      <c r="B2" s="888"/>
      <c r="C2" s="887"/>
      <c r="D2" s="892"/>
      <c r="E2" s="892"/>
      <c r="F2" s="892"/>
      <c r="G2" s="892"/>
      <c r="H2" s="892"/>
      <c r="I2" s="892"/>
      <c r="J2" s="892"/>
      <c r="K2" s="892"/>
      <c r="L2" s="888"/>
      <c r="M2" s="887"/>
      <c r="N2" s="888"/>
    </row>
    <row r="3" spans="1:14" ht="25.9" customHeight="1">
      <c r="A3" s="889"/>
      <c r="B3" s="890"/>
      <c r="C3" s="889"/>
      <c r="D3" s="893"/>
      <c r="E3" s="893"/>
      <c r="F3" s="893"/>
      <c r="G3" s="893"/>
      <c r="H3" s="893"/>
      <c r="I3" s="893"/>
      <c r="J3" s="893"/>
      <c r="K3" s="893"/>
      <c r="L3" s="890"/>
      <c r="M3" s="889"/>
      <c r="N3" s="890"/>
    </row>
    <row r="4" spans="1:14">
      <c r="A4" s="290"/>
      <c r="N4" s="291"/>
    </row>
    <row r="5" spans="1:14" ht="24" customHeight="1">
      <c r="A5" s="292" t="s">
        <v>490</v>
      </c>
      <c r="B5" s="52"/>
      <c r="C5" s="52"/>
      <c r="D5" s="52"/>
      <c r="E5" s="52"/>
      <c r="F5" s="52"/>
      <c r="G5" s="52"/>
      <c r="H5" s="52"/>
      <c r="I5" s="52"/>
      <c r="J5" s="52"/>
      <c r="K5" s="52"/>
      <c r="L5" s="52"/>
      <c r="M5" s="52"/>
      <c r="N5" s="293"/>
    </row>
    <row r="6" spans="1:14" ht="24" customHeight="1">
      <c r="A6" s="294" t="s">
        <v>491</v>
      </c>
      <c r="B6" s="52"/>
      <c r="C6" s="52"/>
      <c r="D6" s="52"/>
      <c r="E6" s="52"/>
      <c r="F6" s="52"/>
      <c r="G6" s="52"/>
      <c r="H6" s="52"/>
      <c r="I6" s="52"/>
      <c r="J6" s="52"/>
      <c r="K6" s="52"/>
      <c r="L6" s="52"/>
      <c r="M6" s="52"/>
      <c r="N6" s="293"/>
    </row>
    <row r="7" spans="1:14" ht="24" customHeight="1">
      <c r="A7" s="294" t="s">
        <v>492</v>
      </c>
      <c r="B7" s="52"/>
      <c r="C7" s="52"/>
      <c r="D7" s="52"/>
      <c r="E7" s="52"/>
      <c r="F7" s="52"/>
      <c r="G7" s="52"/>
      <c r="H7" s="52"/>
      <c r="I7" s="52"/>
      <c r="J7" s="52"/>
      <c r="K7" s="52"/>
      <c r="L7" s="52"/>
      <c r="M7" s="52"/>
      <c r="N7" s="293"/>
    </row>
    <row r="8" spans="1:14" ht="24" customHeight="1">
      <c r="A8" s="295" t="s">
        <v>493</v>
      </c>
      <c r="B8" s="52"/>
      <c r="C8" s="52"/>
      <c r="D8" s="52"/>
      <c r="E8" s="52"/>
      <c r="F8" s="52"/>
      <c r="G8" s="52"/>
      <c r="H8" s="52"/>
      <c r="I8" s="52"/>
      <c r="J8" s="52"/>
      <c r="K8" s="52"/>
      <c r="L8" s="52"/>
      <c r="M8" s="52"/>
      <c r="N8" s="293"/>
    </row>
    <row r="9" spans="1:14" ht="16.5">
      <c r="A9" s="296"/>
      <c r="B9" s="297"/>
      <c r="C9" s="297"/>
      <c r="D9" s="297"/>
      <c r="E9" s="297"/>
      <c r="F9" s="297"/>
      <c r="G9" s="297"/>
      <c r="H9" s="297"/>
      <c r="I9" s="297"/>
      <c r="J9" s="297"/>
      <c r="K9" s="297"/>
      <c r="L9" s="297"/>
      <c r="M9" s="297"/>
      <c r="N9" s="298"/>
    </row>
    <row r="10" spans="1:14" ht="64.150000000000006" customHeight="1">
      <c r="A10" s="863" t="s">
        <v>494</v>
      </c>
      <c r="B10" s="863" t="s">
        <v>495</v>
      </c>
      <c r="C10" s="863" t="s">
        <v>496</v>
      </c>
      <c r="D10" s="863" t="s">
        <v>497</v>
      </c>
      <c r="E10" s="863" t="s">
        <v>498</v>
      </c>
      <c r="F10" s="863" t="s">
        <v>499</v>
      </c>
      <c r="G10" s="863"/>
      <c r="H10" s="863"/>
      <c r="I10" s="28" t="s">
        <v>500</v>
      </c>
      <c r="J10" s="863" t="s">
        <v>501</v>
      </c>
      <c r="K10" s="863" t="s">
        <v>502</v>
      </c>
      <c r="L10" s="863" t="s">
        <v>503</v>
      </c>
      <c r="M10" s="863" t="s">
        <v>504</v>
      </c>
      <c r="N10" s="863" t="s">
        <v>505</v>
      </c>
    </row>
    <row r="11" spans="1:14" ht="58.9" customHeight="1">
      <c r="A11" s="863"/>
      <c r="B11" s="863"/>
      <c r="C11" s="863"/>
      <c r="D11" s="863"/>
      <c r="E11" s="863"/>
      <c r="F11" s="28" t="s">
        <v>506</v>
      </c>
      <c r="G11" s="28" t="s">
        <v>507</v>
      </c>
      <c r="H11" s="28" t="s">
        <v>508</v>
      </c>
      <c r="I11" s="28" t="s">
        <v>509</v>
      </c>
      <c r="J11" s="863"/>
      <c r="K11" s="863"/>
      <c r="L11" s="863"/>
      <c r="M11" s="863"/>
      <c r="N11" s="863"/>
    </row>
    <row r="12" spans="1:14" ht="63.6" customHeight="1">
      <c r="A12" s="567" t="s">
        <v>510</v>
      </c>
      <c r="B12" s="567" t="s">
        <v>511</v>
      </c>
      <c r="C12" s="567" t="s">
        <v>512</v>
      </c>
      <c r="D12" s="567" t="s">
        <v>513</v>
      </c>
      <c r="E12" s="30" t="s">
        <v>514</v>
      </c>
      <c r="F12" s="567" t="s">
        <v>515</v>
      </c>
      <c r="G12" s="567" t="s">
        <v>516</v>
      </c>
      <c r="H12" s="567" t="s">
        <v>517</v>
      </c>
      <c r="I12" s="30" t="s">
        <v>518</v>
      </c>
      <c r="J12" s="30" t="s">
        <v>519</v>
      </c>
      <c r="K12" s="30" t="s">
        <v>520</v>
      </c>
      <c r="L12" s="576" t="s">
        <v>521</v>
      </c>
      <c r="M12" s="576" t="s">
        <v>522</v>
      </c>
      <c r="N12" s="30" t="s">
        <v>523</v>
      </c>
    </row>
    <row r="13" spans="1:14" ht="32.25" customHeight="1">
      <c r="A13" s="30">
        <v>1</v>
      </c>
      <c r="B13" s="174">
        <v>21.5</v>
      </c>
      <c r="C13" s="30">
        <f>+B13*0.84/10^6</f>
        <v>1.806E-5</v>
      </c>
      <c r="D13" s="174">
        <v>43</v>
      </c>
      <c r="E13" s="350">
        <f>+C13*D13</f>
        <v>7.7658000000000002E-4</v>
      </c>
      <c r="F13" s="100">
        <f>+$D$35</f>
        <v>74100</v>
      </c>
      <c r="G13" s="33">
        <f>+$D$36</f>
        <v>3</v>
      </c>
      <c r="H13" s="33">
        <f>+$D$37</f>
        <v>0.6</v>
      </c>
      <c r="I13" s="99">
        <f>+E13*F13</f>
        <v>57.544578000000001</v>
      </c>
      <c r="J13" s="99">
        <f>+E13*G13</f>
        <v>2.3297400000000003E-3</v>
      </c>
      <c r="K13" s="268">
        <f>+E13*H13</f>
        <v>4.6594799999999999E-4</v>
      </c>
      <c r="L13" s="30">
        <v>27.9</v>
      </c>
      <c r="M13" s="30">
        <v>273</v>
      </c>
      <c r="N13" s="99">
        <f>+(I13+J13*L13+K13*M13)/1000</f>
        <v>5.7736781549999998E-2</v>
      </c>
    </row>
    <row r="14" spans="1:14" ht="32.25" customHeight="1">
      <c r="A14" s="30">
        <v>2</v>
      </c>
      <c r="B14" s="174">
        <v>20.5</v>
      </c>
      <c r="C14" s="30">
        <f t="shared" ref="C14:C24" si="0">+B14*0.84/10^6</f>
        <v>1.7219999999999998E-5</v>
      </c>
      <c r="D14" s="174">
        <v>43</v>
      </c>
      <c r="E14" s="350">
        <f t="shared" ref="E14:E24" si="1">+C14*D14</f>
        <v>7.4045999999999986E-4</v>
      </c>
      <c r="F14" s="100">
        <f t="shared" ref="F14:F24" si="2">+$D$35</f>
        <v>74100</v>
      </c>
      <c r="G14" s="33">
        <f t="shared" ref="G14:G24" si="3">+$D$36</f>
        <v>3</v>
      </c>
      <c r="H14" s="33">
        <f t="shared" ref="H14:H24" si="4">+$D$37</f>
        <v>0.6</v>
      </c>
      <c r="I14" s="99">
        <f t="shared" ref="I14:I24" si="5">+E14*F14</f>
        <v>54.868085999999991</v>
      </c>
      <c r="J14" s="99">
        <f t="shared" ref="J14:J24" si="6">+E14*G14</f>
        <v>2.2213799999999994E-3</v>
      </c>
      <c r="K14" s="268">
        <f t="shared" ref="K14:K24" si="7">+E14*H14</f>
        <v>4.442759999999999E-4</v>
      </c>
      <c r="L14" s="30">
        <v>27.9</v>
      </c>
      <c r="M14" s="30">
        <v>273</v>
      </c>
      <c r="N14" s="99">
        <f t="shared" ref="N14:N24" si="8">+(I14+J14*L14+K14*M14)/1000</f>
        <v>5.5051349849999993E-2</v>
      </c>
    </row>
    <row r="15" spans="1:14" ht="32.25" customHeight="1">
      <c r="A15" s="30">
        <v>3</v>
      </c>
      <c r="B15" s="174">
        <v>23.5</v>
      </c>
      <c r="C15" s="30">
        <f t="shared" si="0"/>
        <v>1.9739999999999997E-5</v>
      </c>
      <c r="D15" s="174">
        <v>43</v>
      </c>
      <c r="E15" s="350">
        <f t="shared" si="1"/>
        <v>8.4881999999999991E-4</v>
      </c>
      <c r="F15" s="100">
        <f t="shared" si="2"/>
        <v>74100</v>
      </c>
      <c r="G15" s="33">
        <f t="shared" si="3"/>
        <v>3</v>
      </c>
      <c r="H15" s="33">
        <f t="shared" si="4"/>
        <v>0.6</v>
      </c>
      <c r="I15" s="99">
        <f t="shared" si="5"/>
        <v>62.897561999999994</v>
      </c>
      <c r="J15" s="99">
        <f t="shared" si="6"/>
        <v>2.5464599999999995E-3</v>
      </c>
      <c r="K15" s="268">
        <f t="shared" si="7"/>
        <v>5.0929199999999995E-4</v>
      </c>
      <c r="L15" s="30">
        <v>27.9</v>
      </c>
      <c r="M15" s="30">
        <v>273</v>
      </c>
      <c r="N15" s="99">
        <f t="shared" si="8"/>
        <v>6.310764495E-2</v>
      </c>
    </row>
    <row r="16" spans="1:14" ht="32.25" customHeight="1">
      <c r="A16" s="30">
        <v>4</v>
      </c>
      <c r="B16" s="174">
        <v>49.5</v>
      </c>
      <c r="C16" s="30">
        <f t="shared" si="0"/>
        <v>4.1579999999999998E-5</v>
      </c>
      <c r="D16" s="174">
        <v>43</v>
      </c>
      <c r="E16" s="350">
        <f t="shared" si="1"/>
        <v>1.78794E-3</v>
      </c>
      <c r="F16" s="100">
        <f t="shared" si="2"/>
        <v>74100</v>
      </c>
      <c r="G16" s="33">
        <f t="shared" si="3"/>
        <v>3</v>
      </c>
      <c r="H16" s="33">
        <f t="shared" si="4"/>
        <v>0.6</v>
      </c>
      <c r="I16" s="99">
        <f t="shared" si="5"/>
        <v>132.48635400000001</v>
      </c>
      <c r="J16" s="99">
        <f t="shared" si="6"/>
        <v>5.36382E-3</v>
      </c>
      <c r="K16" s="268">
        <f t="shared" si="7"/>
        <v>1.0727639999999999E-3</v>
      </c>
      <c r="L16" s="30">
        <v>27.9</v>
      </c>
      <c r="M16" s="30">
        <v>273</v>
      </c>
      <c r="N16" s="99">
        <f t="shared" si="8"/>
        <v>0.13292886915000002</v>
      </c>
    </row>
    <row r="17" spans="1:14" ht="32.25" customHeight="1">
      <c r="A17" s="30">
        <v>5</v>
      </c>
      <c r="B17" s="174">
        <v>78.5</v>
      </c>
      <c r="C17" s="30">
        <f t="shared" si="0"/>
        <v>6.5939999999999995E-5</v>
      </c>
      <c r="D17" s="174">
        <v>43</v>
      </c>
      <c r="E17" s="350">
        <f t="shared" si="1"/>
        <v>2.83542E-3</v>
      </c>
      <c r="F17" s="100">
        <f t="shared" si="2"/>
        <v>74100</v>
      </c>
      <c r="G17" s="33">
        <f t="shared" si="3"/>
        <v>3</v>
      </c>
      <c r="H17" s="33">
        <f t="shared" si="4"/>
        <v>0.6</v>
      </c>
      <c r="I17" s="99">
        <f t="shared" si="5"/>
        <v>210.10462200000001</v>
      </c>
      <c r="J17" s="99">
        <f t="shared" si="6"/>
        <v>8.5062599999999999E-3</v>
      </c>
      <c r="K17" s="268">
        <f t="shared" si="7"/>
        <v>1.7012519999999999E-3</v>
      </c>
      <c r="L17" s="30">
        <v>27.9</v>
      </c>
      <c r="M17" s="30">
        <v>273</v>
      </c>
      <c r="N17" s="99">
        <f t="shared" si="8"/>
        <v>0.21080638844999999</v>
      </c>
    </row>
    <row r="18" spans="1:14" ht="32.25" customHeight="1">
      <c r="A18" s="30">
        <v>6</v>
      </c>
      <c r="B18" s="174">
        <v>37</v>
      </c>
      <c r="C18" s="30">
        <f t="shared" si="0"/>
        <v>3.1080000000000001E-5</v>
      </c>
      <c r="D18" s="174">
        <v>43</v>
      </c>
      <c r="E18" s="350">
        <f t="shared" si="1"/>
        <v>1.3364399999999999E-3</v>
      </c>
      <c r="F18" s="100">
        <f t="shared" si="2"/>
        <v>74100</v>
      </c>
      <c r="G18" s="33">
        <f t="shared" si="3"/>
        <v>3</v>
      </c>
      <c r="H18" s="33">
        <f t="shared" si="4"/>
        <v>0.6</v>
      </c>
      <c r="I18" s="99">
        <f t="shared" si="5"/>
        <v>99.030203999999998</v>
      </c>
      <c r="J18" s="99">
        <f t="shared" si="6"/>
        <v>4.0093200000000002E-3</v>
      </c>
      <c r="K18" s="268">
        <f t="shared" si="7"/>
        <v>8.018639999999999E-4</v>
      </c>
      <c r="L18" s="30">
        <v>27.9</v>
      </c>
      <c r="M18" s="30">
        <v>273</v>
      </c>
      <c r="N18" s="99">
        <f t="shared" si="8"/>
        <v>9.9360972899999997E-2</v>
      </c>
    </row>
    <row r="19" spans="1:14" ht="32.25" customHeight="1">
      <c r="A19" s="30">
        <v>7</v>
      </c>
      <c r="B19" s="174">
        <v>25.5</v>
      </c>
      <c r="C19" s="30">
        <f t="shared" si="0"/>
        <v>2.1419999999999998E-5</v>
      </c>
      <c r="D19" s="174">
        <v>43</v>
      </c>
      <c r="E19" s="350">
        <f t="shared" si="1"/>
        <v>9.2105999999999991E-4</v>
      </c>
      <c r="F19" s="100">
        <f t="shared" si="2"/>
        <v>74100</v>
      </c>
      <c r="G19" s="33">
        <f t="shared" si="3"/>
        <v>3</v>
      </c>
      <c r="H19" s="33">
        <f t="shared" si="4"/>
        <v>0.6</v>
      </c>
      <c r="I19" s="99">
        <f t="shared" si="5"/>
        <v>68.250546</v>
      </c>
      <c r="J19" s="99">
        <f t="shared" si="6"/>
        <v>2.7631799999999996E-3</v>
      </c>
      <c r="K19" s="268">
        <f t="shared" si="7"/>
        <v>5.526359999999999E-4</v>
      </c>
      <c r="L19" s="30">
        <v>27.9</v>
      </c>
      <c r="M19" s="30">
        <v>273</v>
      </c>
      <c r="N19" s="99">
        <f t="shared" si="8"/>
        <v>6.8478508349999995E-2</v>
      </c>
    </row>
    <row r="20" spans="1:14" ht="32.25" customHeight="1">
      <c r="A20" s="30">
        <v>8</v>
      </c>
      <c r="B20" s="174">
        <v>22.5</v>
      </c>
      <c r="C20" s="30">
        <f t="shared" si="0"/>
        <v>1.8899999999999999E-5</v>
      </c>
      <c r="D20" s="174">
        <v>43</v>
      </c>
      <c r="E20" s="350">
        <f t="shared" si="1"/>
        <v>8.1269999999999997E-4</v>
      </c>
      <c r="F20" s="100">
        <f t="shared" si="2"/>
        <v>74100</v>
      </c>
      <c r="G20" s="33">
        <f t="shared" si="3"/>
        <v>3</v>
      </c>
      <c r="H20" s="33">
        <f t="shared" si="4"/>
        <v>0.6</v>
      </c>
      <c r="I20" s="99">
        <f t="shared" si="5"/>
        <v>60.221069999999997</v>
      </c>
      <c r="J20" s="99">
        <f t="shared" si="6"/>
        <v>2.4380999999999999E-3</v>
      </c>
      <c r="K20" s="268">
        <f t="shared" si="7"/>
        <v>4.8761999999999997E-4</v>
      </c>
      <c r="L20" s="30">
        <v>27.9</v>
      </c>
      <c r="M20" s="30">
        <v>273</v>
      </c>
      <c r="N20" s="99">
        <f t="shared" si="8"/>
        <v>6.0422213249999995E-2</v>
      </c>
    </row>
    <row r="21" spans="1:14" ht="32.25" customHeight="1">
      <c r="A21" s="30">
        <v>9</v>
      </c>
      <c r="B21" s="174">
        <v>23.5</v>
      </c>
      <c r="C21" s="30">
        <f t="shared" si="0"/>
        <v>1.9739999999999997E-5</v>
      </c>
      <c r="D21" s="174">
        <v>43</v>
      </c>
      <c r="E21" s="350">
        <f t="shared" si="1"/>
        <v>8.4881999999999991E-4</v>
      </c>
      <c r="F21" s="100">
        <f t="shared" si="2"/>
        <v>74100</v>
      </c>
      <c r="G21" s="33">
        <f t="shared" si="3"/>
        <v>3</v>
      </c>
      <c r="H21" s="33">
        <f t="shared" si="4"/>
        <v>0.6</v>
      </c>
      <c r="I21" s="99">
        <f t="shared" si="5"/>
        <v>62.897561999999994</v>
      </c>
      <c r="J21" s="99">
        <f t="shared" si="6"/>
        <v>2.5464599999999995E-3</v>
      </c>
      <c r="K21" s="268">
        <f t="shared" si="7"/>
        <v>5.0929199999999995E-4</v>
      </c>
      <c r="L21" s="30">
        <v>27.9</v>
      </c>
      <c r="M21" s="30">
        <v>273</v>
      </c>
      <c r="N21" s="99">
        <f t="shared" si="8"/>
        <v>6.310764495E-2</v>
      </c>
    </row>
    <row r="22" spans="1:14" ht="32.25" customHeight="1">
      <c r="A22" s="30">
        <v>10</v>
      </c>
      <c r="B22" s="174">
        <v>13.5</v>
      </c>
      <c r="C22" s="30">
        <f t="shared" si="0"/>
        <v>1.134E-5</v>
      </c>
      <c r="D22" s="174">
        <v>43</v>
      </c>
      <c r="E22" s="350">
        <f t="shared" si="1"/>
        <v>4.8761999999999997E-4</v>
      </c>
      <c r="F22" s="100">
        <f t="shared" si="2"/>
        <v>74100</v>
      </c>
      <c r="G22" s="33">
        <f t="shared" si="3"/>
        <v>3</v>
      </c>
      <c r="H22" s="33">
        <f t="shared" si="4"/>
        <v>0.6</v>
      </c>
      <c r="I22" s="99">
        <f t="shared" si="5"/>
        <v>36.132641999999997</v>
      </c>
      <c r="J22" s="99">
        <f t="shared" si="6"/>
        <v>1.4628599999999999E-3</v>
      </c>
      <c r="K22" s="268">
        <f t="shared" si="7"/>
        <v>2.9257199999999995E-4</v>
      </c>
      <c r="L22" s="30">
        <v>27.9</v>
      </c>
      <c r="M22" s="30">
        <v>273</v>
      </c>
      <c r="N22" s="99">
        <f t="shared" si="8"/>
        <v>3.6253327949999997E-2</v>
      </c>
    </row>
    <row r="23" spans="1:14" ht="32.25" customHeight="1">
      <c r="A23" s="30">
        <v>11</v>
      </c>
      <c r="B23" s="174">
        <v>24.5</v>
      </c>
      <c r="C23" s="30">
        <f t="shared" si="0"/>
        <v>2.0579999999999999E-5</v>
      </c>
      <c r="D23" s="174">
        <v>43</v>
      </c>
      <c r="E23" s="350">
        <f t="shared" si="1"/>
        <v>8.8493999999999997E-4</v>
      </c>
      <c r="F23" s="100">
        <f t="shared" si="2"/>
        <v>74100</v>
      </c>
      <c r="G23" s="33">
        <f t="shared" si="3"/>
        <v>3</v>
      </c>
      <c r="H23" s="33">
        <f t="shared" si="4"/>
        <v>0.6</v>
      </c>
      <c r="I23" s="99">
        <f t="shared" si="5"/>
        <v>65.574054000000004</v>
      </c>
      <c r="J23" s="99">
        <f t="shared" si="6"/>
        <v>2.65482E-3</v>
      </c>
      <c r="K23" s="268">
        <f t="shared" si="7"/>
        <v>5.3096399999999998E-4</v>
      </c>
      <c r="L23" s="30">
        <v>27.9</v>
      </c>
      <c r="M23" s="30">
        <v>273</v>
      </c>
      <c r="N23" s="99">
        <f t="shared" si="8"/>
        <v>6.5793076650000004E-2</v>
      </c>
    </row>
    <row r="24" spans="1:14" ht="32.25" customHeight="1">
      <c r="A24" s="30">
        <v>12</v>
      </c>
      <c r="B24" s="174">
        <v>16.75</v>
      </c>
      <c r="C24" s="30">
        <f t="shared" si="0"/>
        <v>1.4070000000000001E-5</v>
      </c>
      <c r="D24" s="174">
        <v>43</v>
      </c>
      <c r="E24" s="350">
        <f t="shared" si="1"/>
        <v>6.0501000000000001E-4</v>
      </c>
      <c r="F24" s="100">
        <f t="shared" si="2"/>
        <v>74100</v>
      </c>
      <c r="G24" s="33">
        <f t="shared" si="3"/>
        <v>3</v>
      </c>
      <c r="H24" s="33">
        <f t="shared" si="4"/>
        <v>0.6</v>
      </c>
      <c r="I24" s="99">
        <f t="shared" si="5"/>
        <v>44.831240999999999</v>
      </c>
      <c r="J24" s="99">
        <f t="shared" si="6"/>
        <v>1.81503E-3</v>
      </c>
      <c r="K24" s="268">
        <f t="shared" si="7"/>
        <v>3.6300599999999997E-4</v>
      </c>
      <c r="L24" s="30">
        <v>27.9</v>
      </c>
      <c r="M24" s="30">
        <v>273</v>
      </c>
      <c r="N24" s="99">
        <f t="shared" si="8"/>
        <v>4.4980980975000001E-2</v>
      </c>
    </row>
    <row r="25" spans="1:14" ht="32.25" customHeight="1">
      <c r="A25" s="575" t="s">
        <v>469</v>
      </c>
      <c r="B25" s="269">
        <f>SUM(B13:B24)</f>
        <v>356.75</v>
      </c>
      <c r="C25" s="28">
        <f>SUM(C13:C24)</f>
        <v>2.9966999999999993E-4</v>
      </c>
      <c r="D25" s="28"/>
      <c r="E25" s="106">
        <f>SUM(E13:E24)</f>
        <v>1.2885809999999999E-2</v>
      </c>
      <c r="F25" s="28"/>
      <c r="G25" s="28"/>
      <c r="H25" s="28"/>
      <c r="I25" s="106">
        <f>SUM(I13:I24)</f>
        <v>954.83852100000001</v>
      </c>
      <c r="J25" s="106">
        <f>SUM(J13:J24)</f>
        <v>3.865743E-2</v>
      </c>
      <c r="K25" s="106">
        <f>SUM(K13:K24)</f>
        <v>7.7314859999999992E-3</v>
      </c>
      <c r="L25" s="28"/>
      <c r="M25" s="28"/>
      <c r="N25" s="106">
        <f>SUM(N13:N24)</f>
        <v>0.95802775897500003</v>
      </c>
    </row>
    <row r="26" spans="1:14" ht="0.75" hidden="1" customHeight="1">
      <c r="A26" s="23"/>
      <c r="B26" s="23"/>
      <c r="C26" s="23"/>
      <c r="D26" s="23"/>
      <c r="E26" s="23"/>
      <c r="F26" s="23"/>
      <c r="G26" s="23"/>
      <c r="H26" s="23"/>
      <c r="I26" s="270">
        <f>+I25/1000</f>
        <v>0.954838521</v>
      </c>
      <c r="J26" s="271">
        <f>+J25*L24/1000</f>
        <v>1.0785422969999999E-3</v>
      </c>
      <c r="K26" s="270">
        <f>+K25*M24/1000</f>
        <v>2.110695678E-3</v>
      </c>
      <c r="L26" s="23"/>
      <c r="M26" s="23"/>
      <c r="N26" s="23"/>
    </row>
    <row r="27" spans="1:14" ht="27" customHeight="1">
      <c r="A27" s="23"/>
      <c r="B27" s="23"/>
      <c r="C27" s="23"/>
      <c r="D27" s="23"/>
      <c r="E27" s="23"/>
      <c r="F27" s="23"/>
      <c r="G27" s="23"/>
      <c r="H27" s="23"/>
      <c r="I27" s="270"/>
      <c r="J27" s="271"/>
      <c r="K27" s="270"/>
      <c r="L27" s="23"/>
      <c r="M27" s="23"/>
      <c r="N27" s="23"/>
    </row>
    <row r="28" spans="1:14" ht="23.25" customHeight="1">
      <c r="A28" s="23" t="s">
        <v>524</v>
      </c>
      <c r="B28" s="23"/>
      <c r="C28" s="23"/>
      <c r="D28" s="23"/>
      <c r="E28" s="23"/>
      <c r="F28" s="23"/>
      <c r="G28" s="23"/>
      <c r="H28" s="23"/>
      <c r="I28" s="23"/>
      <c r="J28" s="23"/>
      <c r="K28" s="23"/>
      <c r="L28" s="23"/>
      <c r="M28" s="23"/>
      <c r="N28" s="23"/>
    </row>
    <row r="29" spans="1:14" ht="16.5">
      <c r="A29" s="52"/>
      <c r="B29" s="52"/>
      <c r="C29" s="52"/>
      <c r="D29" s="52"/>
      <c r="E29" s="52"/>
      <c r="F29" s="52"/>
      <c r="G29" s="52"/>
      <c r="H29" s="52"/>
      <c r="I29" s="52"/>
      <c r="J29" s="52"/>
      <c r="K29" s="52"/>
      <c r="L29" s="52"/>
      <c r="M29" s="52"/>
      <c r="N29" s="52"/>
    </row>
    <row r="30" spans="1:14" ht="24" customHeight="1">
      <c r="A30" s="899" t="s">
        <v>525</v>
      </c>
      <c r="B30" s="899"/>
      <c r="C30" s="899"/>
      <c r="D30" s="899" t="s">
        <v>526</v>
      </c>
      <c r="E30" s="899"/>
      <c r="F30" s="46" t="s">
        <v>527</v>
      </c>
      <c r="G30" s="899" t="s">
        <v>528</v>
      </c>
      <c r="H30" s="899"/>
      <c r="I30" s="899"/>
      <c r="J30" s="899"/>
      <c r="K30" s="899"/>
      <c r="L30" s="899"/>
      <c r="M30" s="899"/>
      <c r="N30" s="899"/>
    </row>
    <row r="31" spans="1:14" ht="23.45" customHeight="1">
      <c r="A31" s="671" t="s">
        <v>529</v>
      </c>
      <c r="B31" s="671"/>
      <c r="C31" s="671"/>
      <c r="D31" s="895" t="s">
        <v>530</v>
      </c>
      <c r="E31" s="895"/>
      <c r="F31" s="177" t="s">
        <v>531</v>
      </c>
      <c r="G31" s="895" t="s">
        <v>532</v>
      </c>
      <c r="H31" s="895"/>
      <c r="I31" s="895"/>
      <c r="J31" s="895"/>
      <c r="K31" s="895"/>
      <c r="L31" s="895"/>
      <c r="M31" s="895"/>
      <c r="N31" s="895"/>
    </row>
    <row r="32" spans="1:14" ht="42" customHeight="1">
      <c r="A32" s="671" t="s">
        <v>533</v>
      </c>
      <c r="B32" s="671"/>
      <c r="C32" s="671"/>
      <c r="D32" s="895">
        <v>0.84</v>
      </c>
      <c r="E32" s="895"/>
      <c r="F32" s="177" t="s">
        <v>534</v>
      </c>
      <c r="G32" s="895" t="s">
        <v>535</v>
      </c>
      <c r="H32" s="895"/>
      <c r="I32" s="895"/>
      <c r="J32" s="895"/>
      <c r="K32" s="895"/>
      <c r="L32" s="895"/>
      <c r="M32" s="895"/>
      <c r="N32" s="895"/>
    </row>
    <row r="33" spans="1:14" ht="39" customHeight="1">
      <c r="A33" s="899" t="s">
        <v>536</v>
      </c>
      <c r="B33" s="899"/>
      <c r="C33" s="899"/>
      <c r="D33" s="899" t="s">
        <v>526</v>
      </c>
      <c r="E33" s="899"/>
      <c r="F33" s="46" t="s">
        <v>527</v>
      </c>
      <c r="G33" s="899" t="s">
        <v>528</v>
      </c>
      <c r="H33" s="899"/>
      <c r="I33" s="899"/>
      <c r="J33" s="899"/>
      <c r="K33" s="899"/>
      <c r="L33" s="863" t="s">
        <v>537</v>
      </c>
      <c r="M33" s="863"/>
      <c r="N33" s="863"/>
    </row>
    <row r="34" spans="1:14" ht="23.45" customHeight="1">
      <c r="A34" s="895" t="s">
        <v>538</v>
      </c>
      <c r="B34" s="895"/>
      <c r="C34" s="895"/>
      <c r="D34" s="897">
        <v>43</v>
      </c>
      <c r="E34" s="897"/>
      <c r="F34" s="177" t="s">
        <v>539</v>
      </c>
      <c r="G34" s="895" t="s">
        <v>540</v>
      </c>
      <c r="H34" s="895"/>
      <c r="I34" s="895"/>
      <c r="J34" s="895"/>
      <c r="K34" s="895"/>
      <c r="L34" s="731"/>
      <c r="M34" s="731"/>
      <c r="N34" s="731"/>
    </row>
    <row r="35" spans="1:14" ht="23.45" customHeight="1">
      <c r="A35" s="895" t="s">
        <v>541</v>
      </c>
      <c r="B35" s="895"/>
      <c r="C35" s="895"/>
      <c r="D35" s="898">
        <v>74100</v>
      </c>
      <c r="E35" s="898"/>
      <c r="F35" s="177" t="s">
        <v>542</v>
      </c>
      <c r="G35" s="895" t="s">
        <v>543</v>
      </c>
      <c r="H35" s="895"/>
      <c r="I35" s="895"/>
      <c r="J35" s="895"/>
      <c r="K35" s="895"/>
      <c r="L35" s="731" t="s">
        <v>544</v>
      </c>
      <c r="M35" s="731"/>
      <c r="N35" s="731"/>
    </row>
    <row r="36" spans="1:14" ht="23.45" customHeight="1">
      <c r="A36" s="895" t="s">
        <v>545</v>
      </c>
      <c r="B36" s="895"/>
      <c r="C36" s="895"/>
      <c r="D36" s="896">
        <v>3</v>
      </c>
      <c r="E36" s="896"/>
      <c r="F36" s="177" t="s">
        <v>542</v>
      </c>
      <c r="G36" s="895" t="s">
        <v>546</v>
      </c>
      <c r="H36" s="895"/>
      <c r="I36" s="895"/>
      <c r="J36" s="895"/>
      <c r="K36" s="895"/>
      <c r="L36" s="731" t="s">
        <v>544</v>
      </c>
      <c r="M36" s="731"/>
      <c r="N36" s="731"/>
    </row>
    <row r="37" spans="1:14" ht="23.45" customHeight="1">
      <c r="A37" s="895" t="s">
        <v>547</v>
      </c>
      <c r="B37" s="895"/>
      <c r="C37" s="895"/>
      <c r="D37" s="896">
        <v>0.6</v>
      </c>
      <c r="E37" s="896"/>
      <c r="F37" s="177" t="s">
        <v>542</v>
      </c>
      <c r="G37" s="895" t="s">
        <v>548</v>
      </c>
      <c r="H37" s="895"/>
      <c r="I37" s="895"/>
      <c r="J37" s="895"/>
      <c r="K37" s="895"/>
      <c r="L37" s="731" t="s">
        <v>544</v>
      </c>
      <c r="M37" s="731"/>
      <c r="N37" s="731"/>
    </row>
    <row r="38" spans="1:14" ht="23.45" customHeight="1">
      <c r="A38" s="895" t="s">
        <v>549</v>
      </c>
      <c r="B38" s="895"/>
      <c r="C38" s="895"/>
      <c r="D38" s="896">
        <v>27.9</v>
      </c>
      <c r="E38" s="896"/>
      <c r="F38" s="177"/>
      <c r="G38" s="895" t="s">
        <v>550</v>
      </c>
      <c r="H38" s="895"/>
      <c r="I38" s="895"/>
      <c r="J38" s="895"/>
      <c r="K38" s="895"/>
      <c r="L38" s="731"/>
      <c r="M38" s="731"/>
      <c r="N38" s="731"/>
    </row>
    <row r="39" spans="1:14" ht="23.45" customHeight="1">
      <c r="A39" s="895" t="s">
        <v>551</v>
      </c>
      <c r="B39" s="895"/>
      <c r="C39" s="895"/>
      <c r="D39" s="896">
        <v>273</v>
      </c>
      <c r="E39" s="896"/>
      <c r="F39" s="177"/>
      <c r="G39" s="895" t="s">
        <v>550</v>
      </c>
      <c r="H39" s="895"/>
      <c r="I39" s="895"/>
      <c r="J39" s="895"/>
      <c r="K39" s="895"/>
      <c r="L39" s="731"/>
      <c r="M39" s="731"/>
      <c r="N39" s="731"/>
    </row>
    <row r="40" spans="1:14">
      <c r="A40" s="894"/>
      <c r="B40" s="894"/>
      <c r="C40" s="894"/>
      <c r="D40" s="894"/>
      <c r="E40" s="894"/>
      <c r="F40" s="58"/>
      <c r="G40" s="894"/>
      <c r="H40" s="894"/>
      <c r="I40" s="894"/>
    </row>
    <row r="41" spans="1:14">
      <c r="A41" s="894"/>
      <c r="B41" s="894"/>
      <c r="C41" s="894"/>
      <c r="D41" s="894"/>
      <c r="E41" s="894"/>
      <c r="F41" s="58"/>
      <c r="G41" s="894"/>
      <c r="H41" s="894"/>
      <c r="I41" s="894"/>
    </row>
  </sheetData>
  <mergeCells count="57">
    <mergeCell ref="F10:H10"/>
    <mergeCell ref="A30:C30"/>
    <mergeCell ref="D30:E30"/>
    <mergeCell ref="G30:N30"/>
    <mergeCell ref="A31:C31"/>
    <mergeCell ref="D31:E31"/>
    <mergeCell ref="G31:N31"/>
    <mergeCell ref="A10:A11"/>
    <mergeCell ref="B10:B11"/>
    <mergeCell ref="C10:C11"/>
    <mergeCell ref="D10:D11"/>
    <mergeCell ref="E10:E11"/>
    <mergeCell ref="J10:J11"/>
    <mergeCell ref="K10:K11"/>
    <mergeCell ref="L10:L11"/>
    <mergeCell ref="M10:M11"/>
    <mergeCell ref="A32:C32"/>
    <mergeCell ref="D32:E32"/>
    <mergeCell ref="G32:N32"/>
    <mergeCell ref="A33:C33"/>
    <mergeCell ref="D33:E33"/>
    <mergeCell ref="G33:K33"/>
    <mergeCell ref="L33:N33"/>
    <mergeCell ref="L37:N37"/>
    <mergeCell ref="A34:C34"/>
    <mergeCell ref="D34:E34"/>
    <mergeCell ref="G34:K34"/>
    <mergeCell ref="L34:N34"/>
    <mergeCell ref="A35:C35"/>
    <mergeCell ref="D35:E35"/>
    <mergeCell ref="G35:K35"/>
    <mergeCell ref="L35:N35"/>
    <mergeCell ref="A41:C41"/>
    <mergeCell ref="D41:E41"/>
    <mergeCell ref="G41:I41"/>
    <mergeCell ref="A38:C38"/>
    <mergeCell ref="D38:E38"/>
    <mergeCell ref="G38:K38"/>
    <mergeCell ref="A39:C39"/>
    <mergeCell ref="D39:E39"/>
    <mergeCell ref="G39:K39"/>
    <mergeCell ref="N10:N11"/>
    <mergeCell ref="A1:B3"/>
    <mergeCell ref="M1:N3"/>
    <mergeCell ref="C1:L3"/>
    <mergeCell ref="A40:C40"/>
    <mergeCell ref="D40:E40"/>
    <mergeCell ref="G40:I40"/>
    <mergeCell ref="L38:N38"/>
    <mergeCell ref="L39:N39"/>
    <mergeCell ref="A36:C36"/>
    <mergeCell ref="D36:E36"/>
    <mergeCell ref="G36:K36"/>
    <mergeCell ref="L36:N36"/>
    <mergeCell ref="A37:C37"/>
    <mergeCell ref="D37:E37"/>
    <mergeCell ref="G37:K37"/>
  </mergeCells>
  <pageMargins left="0.98425196850393704" right="0.59055118110236204" top="0.78740157480314998" bottom="0.78740157480314998" header="0.31496062992126" footer="0.31496062992126"/>
  <pageSetup scale="43" orientation="landscape"/>
  <ignoredErrors>
    <ignoredError sqref="D12"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pageSetUpPr fitToPage="1"/>
  </sheetPr>
  <dimension ref="A1:N38"/>
  <sheetViews>
    <sheetView topLeftCell="A21" zoomScale="70" zoomScaleNormal="70" workbookViewId="0">
      <selection activeCell="M1" sqref="M1:N3"/>
    </sheetView>
  </sheetViews>
  <sheetFormatPr defaultColWidth="9.28515625" defaultRowHeight="15"/>
  <cols>
    <col min="1" max="1" width="8.7109375" style="312" customWidth="1"/>
    <col min="2" max="2" width="20.28515625" style="312" customWidth="1"/>
    <col min="3" max="3" width="11.85546875" style="312" customWidth="1"/>
    <col min="4" max="4" width="13" style="312" customWidth="1"/>
    <col min="5" max="5" width="11" style="312" customWidth="1"/>
    <col min="6" max="6" width="12.28515625" style="312" customWidth="1"/>
    <col min="7" max="8" width="9.85546875" style="312" customWidth="1"/>
    <col min="9" max="9" width="14.28515625" style="312" customWidth="1"/>
    <col min="10" max="12" width="17" style="312" customWidth="1"/>
    <col min="13" max="13" width="11.42578125" style="312" customWidth="1"/>
    <col min="14" max="14" width="19" style="312" customWidth="1"/>
    <col min="15" max="16384" width="9.28515625" style="312"/>
  </cols>
  <sheetData>
    <row r="1" spans="1:14" ht="25.9" customHeight="1">
      <c r="A1" s="900"/>
      <c r="B1" s="900"/>
      <c r="C1" s="901" t="s">
        <v>552</v>
      </c>
      <c r="D1" s="907"/>
      <c r="E1" s="907"/>
      <c r="F1" s="907"/>
      <c r="G1" s="907"/>
      <c r="H1" s="907"/>
      <c r="I1" s="907"/>
      <c r="J1" s="907"/>
      <c r="K1" s="907"/>
      <c r="L1" s="908"/>
      <c r="M1" s="901" t="s">
        <v>1106</v>
      </c>
      <c r="N1" s="902"/>
    </row>
    <row r="2" spans="1:14" ht="25.9" customHeight="1">
      <c r="A2" s="900"/>
      <c r="B2" s="900"/>
      <c r="C2" s="909"/>
      <c r="D2" s="910"/>
      <c r="E2" s="910"/>
      <c r="F2" s="910"/>
      <c r="G2" s="910"/>
      <c r="H2" s="910"/>
      <c r="I2" s="910"/>
      <c r="J2" s="910"/>
      <c r="K2" s="910"/>
      <c r="L2" s="911"/>
      <c r="M2" s="903"/>
      <c r="N2" s="904"/>
    </row>
    <row r="3" spans="1:14" ht="25.9" customHeight="1">
      <c r="A3" s="900"/>
      <c r="B3" s="900"/>
      <c r="C3" s="912"/>
      <c r="D3" s="913"/>
      <c r="E3" s="913"/>
      <c r="F3" s="913"/>
      <c r="G3" s="913"/>
      <c r="H3" s="913"/>
      <c r="I3" s="913"/>
      <c r="J3" s="913"/>
      <c r="K3" s="913"/>
      <c r="L3" s="914"/>
      <c r="M3" s="905"/>
      <c r="N3" s="906"/>
    </row>
    <row r="4" spans="1:14">
      <c r="A4" s="313"/>
      <c r="N4" s="325"/>
    </row>
    <row r="5" spans="1:14" ht="16.5">
      <c r="A5" s="91" t="s">
        <v>553</v>
      </c>
      <c r="B5" s="23"/>
      <c r="C5" s="23"/>
      <c r="D5" s="23"/>
      <c r="E5" s="23"/>
      <c r="F5" s="23"/>
      <c r="G5" s="23"/>
      <c r="H5" s="23"/>
      <c r="I5" s="23"/>
      <c r="J5" s="23"/>
      <c r="K5" s="23"/>
      <c r="L5" s="23"/>
      <c r="M5" s="23"/>
      <c r="N5" s="24"/>
    </row>
    <row r="6" spans="1:14" ht="19.5">
      <c r="A6" s="26" t="s">
        <v>491</v>
      </c>
      <c r="B6" s="23"/>
      <c r="C6" s="23"/>
      <c r="D6" s="23"/>
      <c r="E6" s="23"/>
      <c r="F6" s="23"/>
      <c r="G6" s="23"/>
      <c r="H6" s="23"/>
      <c r="I6" s="23"/>
      <c r="J6" s="23"/>
      <c r="K6" s="23"/>
      <c r="L6" s="23"/>
      <c r="M6" s="23"/>
      <c r="N6" s="24"/>
    </row>
    <row r="7" spans="1:14" ht="19.5">
      <c r="A7" s="26" t="s">
        <v>492</v>
      </c>
      <c r="B7" s="23"/>
      <c r="C7" s="23"/>
      <c r="D7" s="23"/>
      <c r="E7" s="23"/>
      <c r="F7" s="23"/>
      <c r="G7" s="23"/>
      <c r="H7" s="23"/>
      <c r="I7" s="23"/>
      <c r="J7" s="23"/>
      <c r="K7" s="23"/>
      <c r="L7" s="23"/>
      <c r="M7" s="23"/>
      <c r="N7" s="24"/>
    </row>
    <row r="8" spans="1:14" ht="16.5">
      <c r="A8" s="27" t="s">
        <v>493</v>
      </c>
      <c r="B8" s="23"/>
      <c r="C8" s="23"/>
      <c r="D8" s="23"/>
      <c r="E8" s="23"/>
      <c r="F8" s="23"/>
      <c r="G8" s="23"/>
      <c r="H8" s="23"/>
      <c r="I8" s="23"/>
      <c r="J8" s="23"/>
      <c r="K8" s="23"/>
      <c r="L8" s="23"/>
      <c r="M8" s="23"/>
      <c r="N8" s="24"/>
    </row>
    <row r="9" spans="1:14" ht="16.5">
      <c r="A9" s="249"/>
      <c r="B9" s="23"/>
      <c r="C9" s="23"/>
      <c r="D9" s="23"/>
      <c r="E9" s="23"/>
      <c r="F9" s="23"/>
      <c r="G9" s="23"/>
      <c r="H9" s="23"/>
      <c r="I9" s="23"/>
      <c r="J9" s="23"/>
      <c r="K9" s="23"/>
      <c r="L9" s="23"/>
      <c r="M9" s="23"/>
      <c r="N9" s="24"/>
    </row>
    <row r="10" spans="1:14" ht="57" customHeight="1">
      <c r="A10" s="675" t="s">
        <v>494</v>
      </c>
      <c r="B10" s="675" t="s">
        <v>554</v>
      </c>
      <c r="C10" s="675" t="s">
        <v>555</v>
      </c>
      <c r="D10" s="675" t="s">
        <v>556</v>
      </c>
      <c r="E10" s="675" t="s">
        <v>557</v>
      </c>
      <c r="F10" s="923" t="s">
        <v>499</v>
      </c>
      <c r="G10" s="924"/>
      <c r="H10" s="925"/>
      <c r="I10" s="923" t="s">
        <v>500</v>
      </c>
      <c r="J10" s="924"/>
      <c r="K10" s="925"/>
      <c r="L10" s="675" t="s">
        <v>503</v>
      </c>
      <c r="M10" s="675" t="s">
        <v>504</v>
      </c>
      <c r="N10" s="675" t="s">
        <v>505</v>
      </c>
    </row>
    <row r="11" spans="1:14" ht="61.9" customHeight="1">
      <c r="A11" s="676"/>
      <c r="B11" s="676"/>
      <c r="C11" s="676"/>
      <c r="D11" s="676"/>
      <c r="E11" s="676"/>
      <c r="F11" s="28" t="s">
        <v>506</v>
      </c>
      <c r="G11" s="28" t="s">
        <v>507</v>
      </c>
      <c r="H11" s="28" t="s">
        <v>508</v>
      </c>
      <c r="I11" s="28" t="s">
        <v>509</v>
      </c>
      <c r="J11" s="28" t="s">
        <v>501</v>
      </c>
      <c r="K11" s="28" t="s">
        <v>502</v>
      </c>
      <c r="L11" s="676"/>
      <c r="M11" s="676"/>
      <c r="N11" s="676"/>
    </row>
    <row r="12" spans="1:14" ht="49.5">
      <c r="A12" s="32" t="s">
        <v>510</v>
      </c>
      <c r="B12" s="567" t="s">
        <v>511</v>
      </c>
      <c r="C12" s="567" t="s">
        <v>558</v>
      </c>
      <c r="D12" s="567" t="s">
        <v>513</v>
      </c>
      <c r="E12" s="30" t="s">
        <v>514</v>
      </c>
      <c r="F12" s="567" t="s">
        <v>515</v>
      </c>
      <c r="G12" s="567" t="s">
        <v>516</v>
      </c>
      <c r="H12" s="567" t="s">
        <v>517</v>
      </c>
      <c r="I12" s="30" t="s">
        <v>518</v>
      </c>
      <c r="J12" s="30" t="s">
        <v>519</v>
      </c>
      <c r="K12" s="30" t="s">
        <v>520</v>
      </c>
      <c r="L12" s="576" t="s">
        <v>521</v>
      </c>
      <c r="M12" s="576" t="s">
        <v>522</v>
      </c>
      <c r="N12" s="30" t="s">
        <v>523</v>
      </c>
    </row>
    <row r="13" spans="1:14" ht="33.75" customHeight="1">
      <c r="A13" s="32">
        <v>1</v>
      </c>
      <c r="B13" s="32">
        <v>2198.5</v>
      </c>
      <c r="C13" s="337">
        <f>+B13/10^6</f>
        <v>2.1984999999999999E-3</v>
      </c>
      <c r="D13" s="174">
        <v>47.3</v>
      </c>
      <c r="E13" s="334">
        <f>+C13*D13</f>
        <v>0.10398904999999999</v>
      </c>
      <c r="F13" s="100">
        <f>+$D$34</f>
        <v>63100</v>
      </c>
      <c r="G13" s="33">
        <f>+$D$35</f>
        <v>1</v>
      </c>
      <c r="H13" s="33">
        <f>+$D$36</f>
        <v>0.1</v>
      </c>
      <c r="I13" s="99">
        <f>+E13*F13</f>
        <v>6561.7090549999994</v>
      </c>
      <c r="J13" s="341">
        <f>+E13*G13</f>
        <v>0.10398904999999999</v>
      </c>
      <c r="K13" s="337">
        <f>+E13*H13</f>
        <v>1.0398905E-2</v>
      </c>
      <c r="L13" s="30">
        <v>27.9</v>
      </c>
      <c r="M13" s="30">
        <v>273</v>
      </c>
      <c r="N13" s="99">
        <f>+(I13+J13*L13+K13*M13)/1000</f>
        <v>6.5674492505599993</v>
      </c>
    </row>
    <row r="14" spans="1:14" ht="33.75" customHeight="1">
      <c r="A14" s="32">
        <v>2</v>
      </c>
      <c r="B14" s="32">
        <v>1750.6</v>
      </c>
      <c r="C14" s="337">
        <f t="shared" ref="C14:C24" si="0">+B14/10^6</f>
        <v>1.7505999999999999E-3</v>
      </c>
      <c r="D14" s="174">
        <v>47.3</v>
      </c>
      <c r="E14" s="334">
        <f t="shared" ref="E14:E24" si="1">+C14*D14</f>
        <v>8.2803379999999996E-2</v>
      </c>
      <c r="F14" s="100">
        <f t="shared" ref="F14:F24" si="2">+$D$34</f>
        <v>63100</v>
      </c>
      <c r="G14" s="33">
        <f t="shared" ref="G14:G24" si="3">+$D$35</f>
        <v>1</v>
      </c>
      <c r="H14" s="33">
        <f t="shared" ref="H14:H24" si="4">+$D$36</f>
        <v>0.1</v>
      </c>
      <c r="I14" s="99">
        <f t="shared" ref="I14:I24" si="5">+E14*F14</f>
        <v>5224.8932779999996</v>
      </c>
      <c r="J14" s="341">
        <f t="shared" ref="J14:J24" si="6">+E14*G14</f>
        <v>8.2803379999999996E-2</v>
      </c>
      <c r="K14" s="337">
        <f t="shared" ref="K14:K24" si="7">+E14*H14</f>
        <v>8.2803379999999999E-3</v>
      </c>
      <c r="L14" s="30">
        <v>27.9</v>
      </c>
      <c r="M14" s="30">
        <v>273</v>
      </c>
      <c r="N14" s="99">
        <f t="shared" ref="N14:N24" si="8">+(I14+J14*L14+K14*M14)/1000</f>
        <v>5.2294640245759991</v>
      </c>
    </row>
    <row r="15" spans="1:14" ht="33.75" customHeight="1">
      <c r="A15" s="32">
        <v>3</v>
      </c>
      <c r="B15" s="32">
        <v>2246.1999999999998</v>
      </c>
      <c r="C15" s="337">
        <f t="shared" si="0"/>
        <v>2.2461999999999998E-3</v>
      </c>
      <c r="D15" s="174">
        <v>47.3</v>
      </c>
      <c r="E15" s="334">
        <f t="shared" si="1"/>
        <v>0.10624525999999998</v>
      </c>
      <c r="F15" s="100">
        <f t="shared" si="2"/>
        <v>63100</v>
      </c>
      <c r="G15" s="33">
        <f t="shared" si="3"/>
        <v>1</v>
      </c>
      <c r="H15" s="33">
        <f t="shared" si="4"/>
        <v>0.1</v>
      </c>
      <c r="I15" s="99">
        <f t="shared" si="5"/>
        <v>6704.0759059999991</v>
      </c>
      <c r="J15" s="341">
        <f t="shared" si="6"/>
        <v>0.10624525999999998</v>
      </c>
      <c r="K15" s="337">
        <f t="shared" si="7"/>
        <v>1.0624525999999999E-2</v>
      </c>
      <c r="L15" s="30">
        <v>27.9</v>
      </c>
      <c r="M15" s="30">
        <v>273</v>
      </c>
      <c r="N15" s="99">
        <f t="shared" si="8"/>
        <v>6.7099406443519989</v>
      </c>
    </row>
    <row r="16" spans="1:14" ht="33.75" customHeight="1">
      <c r="A16" s="32">
        <v>4</v>
      </c>
      <c r="B16" s="32">
        <v>2237.1999999999998</v>
      </c>
      <c r="C16" s="337">
        <f t="shared" si="0"/>
        <v>2.2372E-3</v>
      </c>
      <c r="D16" s="174">
        <v>47.3</v>
      </c>
      <c r="E16" s="334">
        <f t="shared" si="1"/>
        <v>0.10581955999999999</v>
      </c>
      <c r="F16" s="100">
        <f t="shared" si="2"/>
        <v>63100</v>
      </c>
      <c r="G16" s="33">
        <f t="shared" si="3"/>
        <v>1</v>
      </c>
      <c r="H16" s="33">
        <f t="shared" si="4"/>
        <v>0.1</v>
      </c>
      <c r="I16" s="99">
        <f t="shared" si="5"/>
        <v>6677.2142359999998</v>
      </c>
      <c r="J16" s="341">
        <f t="shared" si="6"/>
        <v>0.10581955999999999</v>
      </c>
      <c r="K16" s="337">
        <f t="shared" si="7"/>
        <v>1.0581956E-2</v>
      </c>
      <c r="L16" s="30">
        <v>27.9</v>
      </c>
      <c r="M16" s="30">
        <v>273</v>
      </c>
      <c r="N16" s="99">
        <f t="shared" si="8"/>
        <v>6.683055475712</v>
      </c>
    </row>
    <row r="17" spans="1:14" ht="33.75" customHeight="1">
      <c r="A17" s="32">
        <v>5</v>
      </c>
      <c r="B17" s="32">
        <v>2738.2</v>
      </c>
      <c r="C17" s="337">
        <f t="shared" si="0"/>
        <v>2.7381999999999997E-3</v>
      </c>
      <c r="D17" s="174">
        <v>47.3</v>
      </c>
      <c r="E17" s="334">
        <f t="shared" si="1"/>
        <v>0.12951685999999998</v>
      </c>
      <c r="F17" s="100">
        <f t="shared" si="2"/>
        <v>63100</v>
      </c>
      <c r="G17" s="33">
        <f t="shared" si="3"/>
        <v>1</v>
      </c>
      <c r="H17" s="33">
        <f t="shared" si="4"/>
        <v>0.1</v>
      </c>
      <c r="I17" s="99">
        <f t="shared" si="5"/>
        <v>8172.5138659999993</v>
      </c>
      <c r="J17" s="341">
        <f t="shared" si="6"/>
        <v>0.12951685999999998</v>
      </c>
      <c r="K17" s="337">
        <f t="shared" si="7"/>
        <v>1.2951685999999999E-2</v>
      </c>
      <c r="L17" s="30">
        <v>27.9</v>
      </c>
      <c r="M17" s="30">
        <v>273</v>
      </c>
      <c r="N17" s="99">
        <f t="shared" si="8"/>
        <v>8.1796631966719993</v>
      </c>
    </row>
    <row r="18" spans="1:14" ht="33.75" customHeight="1">
      <c r="A18" s="32">
        <v>6</v>
      </c>
      <c r="B18" s="32">
        <v>2039.8</v>
      </c>
      <c r="C18" s="337">
        <f t="shared" si="0"/>
        <v>2.0398E-3</v>
      </c>
      <c r="D18" s="174">
        <v>47.3</v>
      </c>
      <c r="E18" s="334">
        <f t="shared" si="1"/>
        <v>9.6482539999999992E-2</v>
      </c>
      <c r="F18" s="100">
        <f t="shared" si="2"/>
        <v>63100</v>
      </c>
      <c r="G18" s="33">
        <f t="shared" si="3"/>
        <v>1</v>
      </c>
      <c r="H18" s="33">
        <f t="shared" si="4"/>
        <v>0.1</v>
      </c>
      <c r="I18" s="99">
        <f t="shared" si="5"/>
        <v>6088.0482739999998</v>
      </c>
      <c r="J18" s="341">
        <f t="shared" si="6"/>
        <v>9.6482539999999992E-2</v>
      </c>
      <c r="K18" s="337">
        <f t="shared" si="7"/>
        <v>9.6482540000000002E-3</v>
      </c>
      <c r="L18" s="30">
        <v>27.9</v>
      </c>
      <c r="M18" s="30">
        <v>273</v>
      </c>
      <c r="N18" s="99">
        <f t="shared" si="8"/>
        <v>6.093374110207999</v>
      </c>
    </row>
    <row r="19" spans="1:14" ht="33.75" customHeight="1">
      <c r="A19" s="32">
        <v>7</v>
      </c>
      <c r="B19" s="32">
        <v>2613.1999999999998</v>
      </c>
      <c r="C19" s="337">
        <f t="shared" si="0"/>
        <v>2.6132E-3</v>
      </c>
      <c r="D19" s="174">
        <v>47.3</v>
      </c>
      <c r="E19" s="334">
        <f t="shared" si="1"/>
        <v>0.12360436</v>
      </c>
      <c r="F19" s="100">
        <f t="shared" si="2"/>
        <v>63100</v>
      </c>
      <c r="G19" s="33">
        <f t="shared" si="3"/>
        <v>1</v>
      </c>
      <c r="H19" s="33">
        <f t="shared" si="4"/>
        <v>0.1</v>
      </c>
      <c r="I19" s="99">
        <f t="shared" si="5"/>
        <v>7799.4351159999997</v>
      </c>
      <c r="J19" s="341">
        <f t="shared" si="6"/>
        <v>0.12360436</v>
      </c>
      <c r="K19" s="337">
        <f t="shared" si="7"/>
        <v>1.2360436000000001E-2</v>
      </c>
      <c r="L19" s="30">
        <v>27.9</v>
      </c>
      <c r="M19" s="30">
        <v>273</v>
      </c>
      <c r="N19" s="99">
        <f t="shared" si="8"/>
        <v>7.8062580766719991</v>
      </c>
    </row>
    <row r="20" spans="1:14" ht="33.75" customHeight="1">
      <c r="A20" s="32">
        <v>8</v>
      </c>
      <c r="B20" s="32">
        <v>2445.6</v>
      </c>
      <c r="C20" s="337">
        <f t="shared" si="0"/>
        <v>2.4456E-3</v>
      </c>
      <c r="D20" s="174">
        <v>47.3</v>
      </c>
      <c r="E20" s="334">
        <f t="shared" si="1"/>
        <v>0.11567688</v>
      </c>
      <c r="F20" s="100">
        <f t="shared" si="2"/>
        <v>63100</v>
      </c>
      <c r="G20" s="33">
        <f t="shared" si="3"/>
        <v>1</v>
      </c>
      <c r="H20" s="33">
        <f t="shared" si="4"/>
        <v>0.1</v>
      </c>
      <c r="I20" s="99">
        <f t="shared" si="5"/>
        <v>7299.2111279999999</v>
      </c>
      <c r="J20" s="341">
        <f t="shared" si="6"/>
        <v>0.11567688</v>
      </c>
      <c r="K20" s="337">
        <f t="shared" si="7"/>
        <v>1.1567688E-2</v>
      </c>
      <c r="L20" s="30">
        <v>27.9</v>
      </c>
      <c r="M20" s="30">
        <v>273</v>
      </c>
      <c r="N20" s="99">
        <f t="shared" si="8"/>
        <v>7.305596491775999</v>
      </c>
    </row>
    <row r="21" spans="1:14" ht="33.75" customHeight="1">
      <c r="A21" s="32">
        <v>9</v>
      </c>
      <c r="B21" s="32">
        <v>2264.4</v>
      </c>
      <c r="C21" s="337">
        <f t="shared" si="0"/>
        <v>2.2644000000000002E-3</v>
      </c>
      <c r="D21" s="174">
        <v>47.3</v>
      </c>
      <c r="E21" s="334">
        <f t="shared" si="1"/>
        <v>0.10710612</v>
      </c>
      <c r="F21" s="100">
        <f t="shared" si="2"/>
        <v>63100</v>
      </c>
      <c r="G21" s="33">
        <f t="shared" si="3"/>
        <v>1</v>
      </c>
      <c r="H21" s="33">
        <f t="shared" si="4"/>
        <v>0.1</v>
      </c>
      <c r="I21" s="99">
        <f t="shared" si="5"/>
        <v>6758.3961719999998</v>
      </c>
      <c r="J21" s="341">
        <f t="shared" si="6"/>
        <v>0.10710612</v>
      </c>
      <c r="K21" s="337">
        <f t="shared" si="7"/>
        <v>1.0710612000000001E-2</v>
      </c>
      <c r="L21" s="30">
        <v>27.9</v>
      </c>
      <c r="M21" s="30">
        <v>273</v>
      </c>
      <c r="N21" s="99">
        <f t="shared" si="8"/>
        <v>6.7643084298240002</v>
      </c>
    </row>
    <row r="22" spans="1:14" ht="33.75" customHeight="1">
      <c r="A22" s="32">
        <v>10</v>
      </c>
      <c r="B22" s="32">
        <v>2558</v>
      </c>
      <c r="C22" s="337">
        <f t="shared" si="0"/>
        <v>2.5579999999999999E-3</v>
      </c>
      <c r="D22" s="174">
        <v>47.3</v>
      </c>
      <c r="E22" s="334">
        <f t="shared" si="1"/>
        <v>0.12099339999999999</v>
      </c>
      <c r="F22" s="100">
        <f t="shared" si="2"/>
        <v>63100</v>
      </c>
      <c r="G22" s="33">
        <f t="shared" si="3"/>
        <v>1</v>
      </c>
      <c r="H22" s="33">
        <f t="shared" si="4"/>
        <v>0.1</v>
      </c>
      <c r="I22" s="99">
        <f t="shared" si="5"/>
        <v>7634.6835399999991</v>
      </c>
      <c r="J22" s="341">
        <f t="shared" si="6"/>
        <v>0.12099339999999999</v>
      </c>
      <c r="K22" s="337">
        <f t="shared" si="7"/>
        <v>1.209934E-2</v>
      </c>
      <c r="L22" s="30">
        <v>27.9</v>
      </c>
      <c r="M22" s="30">
        <v>273</v>
      </c>
      <c r="N22" s="99">
        <f t="shared" si="8"/>
        <v>7.6413623756799991</v>
      </c>
    </row>
    <row r="23" spans="1:14" ht="33.75" customHeight="1">
      <c r="A23" s="32">
        <v>11</v>
      </c>
      <c r="B23" s="32">
        <v>2488</v>
      </c>
      <c r="C23" s="337">
        <f t="shared" si="0"/>
        <v>2.4880000000000002E-3</v>
      </c>
      <c r="D23" s="174">
        <v>47.3</v>
      </c>
      <c r="E23" s="334">
        <f t="shared" si="1"/>
        <v>0.11768240000000001</v>
      </c>
      <c r="F23" s="100">
        <f t="shared" si="2"/>
        <v>63100</v>
      </c>
      <c r="G23" s="33">
        <f t="shared" si="3"/>
        <v>1</v>
      </c>
      <c r="H23" s="33">
        <f t="shared" si="4"/>
        <v>0.1</v>
      </c>
      <c r="I23" s="99">
        <f t="shared" si="5"/>
        <v>7425.7594400000007</v>
      </c>
      <c r="J23" s="341">
        <f t="shared" si="6"/>
        <v>0.11768240000000001</v>
      </c>
      <c r="K23" s="337">
        <f t="shared" si="7"/>
        <v>1.1768240000000001E-2</v>
      </c>
      <c r="L23" s="30">
        <v>27.9</v>
      </c>
      <c r="M23" s="30">
        <v>273</v>
      </c>
      <c r="N23" s="99">
        <f t="shared" si="8"/>
        <v>7.4322555084800008</v>
      </c>
    </row>
    <row r="24" spans="1:14" ht="33.75" customHeight="1">
      <c r="A24" s="32">
        <v>12</v>
      </c>
      <c r="B24" s="32">
        <v>2380</v>
      </c>
      <c r="C24" s="337">
        <f t="shared" si="0"/>
        <v>2.3800000000000002E-3</v>
      </c>
      <c r="D24" s="174">
        <v>47.3</v>
      </c>
      <c r="E24" s="334">
        <f t="shared" si="1"/>
        <v>0.11257400000000001</v>
      </c>
      <c r="F24" s="100">
        <f t="shared" si="2"/>
        <v>63100</v>
      </c>
      <c r="G24" s="33">
        <f t="shared" si="3"/>
        <v>1</v>
      </c>
      <c r="H24" s="33">
        <f t="shared" si="4"/>
        <v>0.1</v>
      </c>
      <c r="I24" s="99">
        <f t="shared" si="5"/>
        <v>7103.4194000000007</v>
      </c>
      <c r="J24" s="341">
        <f t="shared" si="6"/>
        <v>0.11257400000000001</v>
      </c>
      <c r="K24" s="337">
        <f t="shared" si="7"/>
        <v>1.1257400000000001E-2</v>
      </c>
      <c r="L24" s="30">
        <v>27.9</v>
      </c>
      <c r="M24" s="30">
        <v>273</v>
      </c>
      <c r="N24" s="99">
        <f t="shared" si="8"/>
        <v>7.1096334848000007</v>
      </c>
    </row>
    <row r="25" spans="1:14" ht="33.75" customHeight="1">
      <c r="A25" s="302" t="s">
        <v>469</v>
      </c>
      <c r="B25" s="303">
        <f>SUM(B13:B24)</f>
        <v>27959.7</v>
      </c>
      <c r="C25" s="343">
        <f>SUM(C13:C24)</f>
        <v>2.7959700000000001E-2</v>
      </c>
      <c r="D25" s="303"/>
      <c r="E25" s="344">
        <f>SUM(E13:E24)</f>
        <v>1.3224938099999999</v>
      </c>
      <c r="F25" s="345"/>
      <c r="G25" s="303"/>
      <c r="H25" s="303"/>
      <c r="I25" s="347">
        <f>SUM(I13:I24)</f>
        <v>83449.359410999998</v>
      </c>
      <c r="J25" s="348">
        <f>SUM(J13:J24)</f>
        <v>1.3224938099999999</v>
      </c>
      <c r="K25" s="348">
        <f>SUM(K13:K24)</f>
        <v>0.132249381</v>
      </c>
      <c r="L25" s="349"/>
      <c r="M25" s="349"/>
      <c r="N25" s="304">
        <f>SUM(N13:N24)</f>
        <v>83.522361069311998</v>
      </c>
    </row>
    <row r="26" spans="1:14" ht="16.5" hidden="1">
      <c r="A26" s="23"/>
      <c r="B26" s="23"/>
      <c r="C26" s="23"/>
      <c r="D26" s="23"/>
      <c r="E26" s="23"/>
      <c r="F26" s="23"/>
      <c r="G26" s="23"/>
      <c r="H26" s="23"/>
      <c r="I26" s="270">
        <f>+I25/1000</f>
        <v>83.449359411000003</v>
      </c>
      <c r="J26" s="271">
        <f>+J25*L24/1000</f>
        <v>3.6897577298999999E-2</v>
      </c>
      <c r="K26" s="270">
        <f>+K25*M24/1000</f>
        <v>3.6104081013E-2</v>
      </c>
      <c r="L26" s="23"/>
      <c r="M26" s="23"/>
      <c r="N26" s="23"/>
    </row>
    <row r="27" spans="1:14" ht="16.5">
      <c r="A27" s="23"/>
      <c r="B27" s="23"/>
      <c r="C27" s="23"/>
      <c r="D27" s="23"/>
      <c r="E27" s="23"/>
      <c r="F27" s="23"/>
      <c r="G27" s="23"/>
      <c r="H27" s="23"/>
      <c r="I27" s="23"/>
      <c r="J27" s="23"/>
      <c r="K27" s="23"/>
      <c r="L27" s="23"/>
      <c r="M27" s="23"/>
      <c r="N27" s="23"/>
    </row>
    <row r="28" spans="1:14" ht="16.5">
      <c r="A28" s="306" t="s">
        <v>524</v>
      </c>
      <c r="B28" s="23"/>
      <c r="C28" s="23"/>
      <c r="D28" s="23"/>
      <c r="E28" s="23"/>
      <c r="F28" s="23"/>
      <c r="G28" s="23"/>
      <c r="H28" s="23"/>
      <c r="I28" s="23"/>
      <c r="J28" s="23"/>
      <c r="K28" s="23"/>
      <c r="L28" s="23"/>
      <c r="M28" s="23"/>
      <c r="N28" s="23"/>
    </row>
    <row r="29" spans="1:14" ht="16.5">
      <c r="A29" s="23"/>
      <c r="B29" s="23"/>
      <c r="C29" s="23"/>
      <c r="D29" s="23"/>
      <c r="E29" s="23"/>
      <c r="F29" s="23"/>
      <c r="G29" s="23"/>
      <c r="H29" s="23"/>
      <c r="I29" s="23"/>
      <c r="J29" s="23"/>
      <c r="K29" s="23"/>
      <c r="L29" s="23"/>
      <c r="M29" s="23"/>
      <c r="N29" s="23"/>
    </row>
    <row r="30" spans="1:14" ht="19.149999999999999" customHeight="1">
      <c r="A30" s="899" t="s">
        <v>525</v>
      </c>
      <c r="B30" s="899"/>
      <c r="C30" s="899"/>
      <c r="D30" s="899" t="s">
        <v>526</v>
      </c>
      <c r="E30" s="899"/>
      <c r="F30" s="46" t="s">
        <v>527</v>
      </c>
      <c r="G30" s="899" t="s">
        <v>528</v>
      </c>
      <c r="H30" s="899"/>
      <c r="I30" s="899"/>
      <c r="J30" s="899"/>
      <c r="K30" s="899"/>
      <c r="L30" s="899"/>
      <c r="M30" s="899"/>
      <c r="N30" s="899"/>
    </row>
    <row r="31" spans="1:14" ht="23.45" customHeight="1">
      <c r="A31" s="918" t="s">
        <v>529</v>
      </c>
      <c r="B31" s="918"/>
      <c r="C31" s="918"/>
      <c r="D31" s="919" t="s">
        <v>530</v>
      </c>
      <c r="E31" s="919"/>
      <c r="F31" s="346" t="s">
        <v>531</v>
      </c>
      <c r="G31" s="920" t="s">
        <v>532</v>
      </c>
      <c r="H31" s="921"/>
      <c r="I31" s="921"/>
      <c r="J31" s="921"/>
      <c r="K31" s="921"/>
      <c r="L31" s="921"/>
      <c r="M31" s="921"/>
      <c r="N31" s="921"/>
    </row>
    <row r="32" spans="1:14" ht="35.450000000000003" customHeight="1">
      <c r="A32" s="922" t="s">
        <v>559</v>
      </c>
      <c r="B32" s="899"/>
      <c r="C32" s="899"/>
      <c r="D32" s="899" t="s">
        <v>526</v>
      </c>
      <c r="E32" s="899"/>
      <c r="F32" s="46" t="s">
        <v>527</v>
      </c>
      <c r="G32" s="899" t="s">
        <v>528</v>
      </c>
      <c r="H32" s="899"/>
      <c r="I32" s="899"/>
      <c r="J32" s="899"/>
      <c r="K32" s="899"/>
      <c r="L32" s="863" t="s">
        <v>537</v>
      </c>
      <c r="M32" s="863"/>
      <c r="N32" s="863"/>
    </row>
    <row r="33" spans="1:14" ht="23.45" customHeight="1">
      <c r="A33" s="895" t="s">
        <v>560</v>
      </c>
      <c r="B33" s="895"/>
      <c r="C33" s="895"/>
      <c r="D33" s="897">
        <v>47.3</v>
      </c>
      <c r="E33" s="897"/>
      <c r="F33" s="177" t="s">
        <v>539</v>
      </c>
      <c r="G33" s="915" t="s">
        <v>540</v>
      </c>
      <c r="H33" s="916"/>
      <c r="I33" s="916"/>
      <c r="J33" s="916"/>
      <c r="K33" s="917"/>
      <c r="L33" s="731"/>
      <c r="M33" s="731"/>
      <c r="N33" s="731"/>
    </row>
    <row r="34" spans="1:14" ht="23.45" customHeight="1">
      <c r="A34" s="895" t="s">
        <v>541</v>
      </c>
      <c r="B34" s="895"/>
      <c r="C34" s="895"/>
      <c r="D34" s="898">
        <v>63100</v>
      </c>
      <c r="E34" s="898"/>
      <c r="F34" s="177" t="s">
        <v>542</v>
      </c>
      <c r="G34" s="915" t="s">
        <v>561</v>
      </c>
      <c r="H34" s="916"/>
      <c r="I34" s="916"/>
      <c r="J34" s="916"/>
      <c r="K34" s="917"/>
      <c r="L34" s="731" t="s">
        <v>544</v>
      </c>
      <c r="M34" s="731"/>
      <c r="N34" s="731"/>
    </row>
    <row r="35" spans="1:14" ht="23.45" customHeight="1">
      <c r="A35" s="895" t="s">
        <v>545</v>
      </c>
      <c r="B35" s="895"/>
      <c r="C35" s="895"/>
      <c r="D35" s="896">
        <v>1</v>
      </c>
      <c r="E35" s="896"/>
      <c r="F35" s="177" t="s">
        <v>542</v>
      </c>
      <c r="G35" s="915" t="s">
        <v>562</v>
      </c>
      <c r="H35" s="916"/>
      <c r="I35" s="916"/>
      <c r="J35" s="916"/>
      <c r="K35" s="917"/>
      <c r="L35" s="731" t="s">
        <v>544</v>
      </c>
      <c r="M35" s="731"/>
      <c r="N35" s="731"/>
    </row>
    <row r="36" spans="1:14" ht="23.45" customHeight="1">
      <c r="A36" s="895" t="s">
        <v>547</v>
      </c>
      <c r="B36" s="895"/>
      <c r="C36" s="895"/>
      <c r="D36" s="896">
        <v>0.1</v>
      </c>
      <c r="E36" s="896"/>
      <c r="F36" s="177" t="s">
        <v>542</v>
      </c>
      <c r="G36" s="915" t="s">
        <v>563</v>
      </c>
      <c r="H36" s="916"/>
      <c r="I36" s="916"/>
      <c r="J36" s="916"/>
      <c r="K36" s="917"/>
      <c r="L36" s="731" t="s">
        <v>544</v>
      </c>
      <c r="M36" s="731"/>
      <c r="N36" s="731"/>
    </row>
    <row r="37" spans="1:14" ht="23.45" customHeight="1">
      <c r="A37" s="895" t="s">
        <v>549</v>
      </c>
      <c r="B37" s="895"/>
      <c r="C37" s="895"/>
      <c r="D37" s="896">
        <v>27.9</v>
      </c>
      <c r="E37" s="896"/>
      <c r="F37" s="177"/>
      <c r="G37" s="915" t="s">
        <v>550</v>
      </c>
      <c r="H37" s="916"/>
      <c r="I37" s="916"/>
      <c r="J37" s="916"/>
      <c r="K37" s="917"/>
      <c r="L37" s="731"/>
      <c r="M37" s="731"/>
      <c r="N37" s="731"/>
    </row>
    <row r="38" spans="1:14" ht="23.45" customHeight="1">
      <c r="A38" s="895" t="s">
        <v>551</v>
      </c>
      <c r="B38" s="895"/>
      <c r="C38" s="895"/>
      <c r="D38" s="896">
        <v>273</v>
      </c>
      <c r="E38" s="896"/>
      <c r="F38" s="177"/>
      <c r="G38" s="915" t="s">
        <v>550</v>
      </c>
      <c r="H38" s="916"/>
      <c r="I38" s="916"/>
      <c r="J38" s="916"/>
      <c r="K38" s="917"/>
      <c r="L38" s="731"/>
      <c r="M38" s="731"/>
      <c r="N38" s="731"/>
    </row>
  </sheetData>
  <mergeCells count="47">
    <mergeCell ref="F10:H10"/>
    <mergeCell ref="I10:K10"/>
    <mergeCell ref="A30:C30"/>
    <mergeCell ref="D30:E30"/>
    <mergeCell ref="G30:N30"/>
    <mergeCell ref="A10:A11"/>
    <mergeCell ref="B10:B11"/>
    <mergeCell ref="C10:C11"/>
    <mergeCell ref="D10:D11"/>
    <mergeCell ref="E10:E11"/>
    <mergeCell ref="L10:L11"/>
    <mergeCell ref="M10:M11"/>
    <mergeCell ref="N10:N11"/>
    <mergeCell ref="D31:E31"/>
    <mergeCell ref="G31:N31"/>
    <mergeCell ref="A32:C32"/>
    <mergeCell ref="D32:E32"/>
    <mergeCell ref="G32:K32"/>
    <mergeCell ref="L32:N32"/>
    <mergeCell ref="A38:C38"/>
    <mergeCell ref="D38:E38"/>
    <mergeCell ref="G38:K38"/>
    <mergeCell ref="L38:N38"/>
    <mergeCell ref="A35:C35"/>
    <mergeCell ref="D35:E35"/>
    <mergeCell ref="G35:K35"/>
    <mergeCell ref="L35:N35"/>
    <mergeCell ref="A36:C36"/>
    <mergeCell ref="D36:E36"/>
    <mergeCell ref="G36:K36"/>
    <mergeCell ref="L36:N36"/>
    <mergeCell ref="A1:B3"/>
    <mergeCell ref="M1:N3"/>
    <mergeCell ref="C1:L3"/>
    <mergeCell ref="A37:C37"/>
    <mergeCell ref="D37:E37"/>
    <mergeCell ref="G37:K37"/>
    <mergeCell ref="L37:N37"/>
    <mergeCell ref="A33:C33"/>
    <mergeCell ref="D33:E33"/>
    <mergeCell ref="G33:K33"/>
    <mergeCell ref="L33:N33"/>
    <mergeCell ref="A34:C34"/>
    <mergeCell ref="D34:E34"/>
    <mergeCell ref="G34:K34"/>
    <mergeCell ref="L34:N34"/>
    <mergeCell ref="A31:C31"/>
  </mergeCells>
  <pageMargins left="0.98425196850393704" right="0.59055118110236204" top="0.78740157480314998" bottom="0.78740157480314998" header="0.31496062992126" footer="0.31496062992126"/>
  <pageSetup scale="48"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pageSetUpPr fitToPage="1"/>
  </sheetPr>
  <dimension ref="A1:N38"/>
  <sheetViews>
    <sheetView topLeftCell="A21" zoomScale="85" zoomScaleNormal="85" workbookViewId="0">
      <selection activeCell="M1" sqref="M1:N3"/>
    </sheetView>
  </sheetViews>
  <sheetFormatPr defaultColWidth="9.28515625" defaultRowHeight="14.25"/>
  <cols>
    <col min="1" max="1" width="8.7109375" style="18" customWidth="1"/>
    <col min="2" max="2" width="20.5703125" style="18" customWidth="1"/>
    <col min="3" max="3" width="13.28515625" style="18" customWidth="1"/>
    <col min="4" max="4" width="13" style="18" customWidth="1"/>
    <col min="5" max="5" width="11" style="18" customWidth="1"/>
    <col min="6" max="6" width="12.28515625" style="18" customWidth="1"/>
    <col min="7" max="8" width="9.85546875" style="18" customWidth="1"/>
    <col min="9" max="9" width="14.28515625" style="18" customWidth="1"/>
    <col min="10" max="12" width="17" style="18" customWidth="1"/>
    <col min="13" max="13" width="11.42578125" style="18" customWidth="1"/>
    <col min="14" max="14" width="16.28515625" style="18" customWidth="1"/>
    <col min="15" max="15" width="23.28515625" style="18" customWidth="1"/>
    <col min="16" max="16384" width="9.28515625" style="18"/>
  </cols>
  <sheetData>
    <row r="1" spans="1:14" ht="25.9" customHeight="1">
      <c r="A1" s="926"/>
      <c r="B1" s="926"/>
      <c r="C1" s="927" t="s">
        <v>564</v>
      </c>
      <c r="D1" s="928"/>
      <c r="E1" s="928"/>
      <c r="F1" s="928"/>
      <c r="G1" s="928"/>
      <c r="H1" s="928"/>
      <c r="I1" s="928"/>
      <c r="J1" s="928"/>
      <c r="K1" s="928"/>
      <c r="L1" s="929"/>
      <c r="M1" s="901" t="s">
        <v>1110</v>
      </c>
      <c r="N1" s="902"/>
    </row>
    <row r="2" spans="1:14" ht="25.9" customHeight="1">
      <c r="A2" s="926"/>
      <c r="B2" s="926"/>
      <c r="C2" s="930"/>
      <c r="D2" s="931"/>
      <c r="E2" s="931"/>
      <c r="F2" s="931"/>
      <c r="G2" s="931"/>
      <c r="H2" s="931"/>
      <c r="I2" s="931"/>
      <c r="J2" s="931"/>
      <c r="K2" s="931"/>
      <c r="L2" s="932"/>
      <c r="M2" s="903"/>
      <c r="N2" s="904"/>
    </row>
    <row r="3" spans="1:14" ht="25.9" customHeight="1">
      <c r="A3" s="926"/>
      <c r="B3" s="926"/>
      <c r="C3" s="933"/>
      <c r="D3" s="934"/>
      <c r="E3" s="934"/>
      <c r="F3" s="934"/>
      <c r="G3" s="934"/>
      <c r="H3" s="934"/>
      <c r="I3" s="934"/>
      <c r="J3" s="934"/>
      <c r="K3" s="934"/>
      <c r="L3" s="935"/>
      <c r="M3" s="905"/>
      <c r="N3" s="906"/>
    </row>
    <row r="4" spans="1:14">
      <c r="A4" s="267"/>
      <c r="B4" s="208"/>
      <c r="C4" s="208"/>
      <c r="D4" s="208"/>
      <c r="E4" s="208"/>
      <c r="F4" s="208"/>
      <c r="G4" s="208"/>
      <c r="H4" s="208"/>
      <c r="I4" s="208"/>
      <c r="J4" s="208"/>
      <c r="K4" s="208"/>
      <c r="L4" s="208"/>
      <c r="M4" s="208"/>
      <c r="N4" s="311"/>
    </row>
    <row r="5" spans="1:14" ht="16.5">
      <c r="A5" s="91" t="s">
        <v>565</v>
      </c>
      <c r="B5" s="23"/>
      <c r="C5" s="23"/>
      <c r="D5" s="23"/>
      <c r="E5" s="23"/>
      <c r="F5" s="23"/>
      <c r="G5" s="23"/>
      <c r="H5" s="23"/>
      <c r="I5" s="23"/>
      <c r="J5" s="23"/>
      <c r="K5" s="23"/>
      <c r="L5" s="23"/>
      <c r="M5" s="23"/>
      <c r="N5" s="24"/>
    </row>
    <row r="6" spans="1:14" ht="19.5">
      <c r="A6" s="26" t="s">
        <v>491</v>
      </c>
      <c r="B6" s="23"/>
      <c r="C6" s="23"/>
      <c r="D6" s="23"/>
      <c r="E6" s="23"/>
      <c r="F6" s="23"/>
      <c r="G6" s="23"/>
      <c r="H6" s="23"/>
      <c r="I6" s="23"/>
      <c r="J6" s="23"/>
      <c r="K6" s="23"/>
      <c r="L6" s="23"/>
      <c r="M6" s="23"/>
      <c r="N6" s="24"/>
    </row>
    <row r="7" spans="1:14" ht="19.5">
      <c r="A7" s="26" t="s">
        <v>492</v>
      </c>
      <c r="B7" s="23"/>
      <c r="C7" s="23"/>
      <c r="D7" s="23"/>
      <c r="E7" s="23"/>
      <c r="F7" s="23"/>
      <c r="G7" s="23"/>
      <c r="H7" s="23"/>
      <c r="I7" s="23"/>
      <c r="J7" s="23"/>
      <c r="K7" s="23"/>
      <c r="L7" s="23"/>
      <c r="M7" s="23"/>
      <c r="N7" s="24"/>
    </row>
    <row r="8" spans="1:14" ht="16.5">
      <c r="A8" s="27" t="s">
        <v>493</v>
      </c>
      <c r="B8" s="23"/>
      <c r="C8" s="23"/>
      <c r="D8" s="23"/>
      <c r="E8" s="23"/>
      <c r="F8" s="23"/>
      <c r="G8" s="23"/>
      <c r="H8" s="23"/>
      <c r="I8" s="23"/>
      <c r="J8" s="23"/>
      <c r="K8" s="23"/>
      <c r="L8" s="23"/>
      <c r="M8" s="23"/>
      <c r="N8" s="24"/>
    </row>
    <row r="9" spans="1:14" ht="16.5">
      <c r="A9" s="92"/>
      <c r="B9" s="94"/>
      <c r="C9" s="94"/>
      <c r="D9" s="94"/>
      <c r="E9" s="94"/>
      <c r="F9" s="94"/>
      <c r="G9" s="94"/>
      <c r="H9" s="94"/>
      <c r="I9" s="94"/>
      <c r="J9" s="94"/>
      <c r="K9" s="94"/>
      <c r="L9" s="94"/>
      <c r="M9" s="94"/>
      <c r="N9" s="93"/>
    </row>
    <row r="10" spans="1:14" ht="57" customHeight="1">
      <c r="A10" s="675" t="s">
        <v>494</v>
      </c>
      <c r="B10" s="675" t="s">
        <v>554</v>
      </c>
      <c r="C10" s="675" t="s">
        <v>555</v>
      </c>
      <c r="D10" s="675" t="s">
        <v>556</v>
      </c>
      <c r="E10" s="675" t="s">
        <v>557</v>
      </c>
      <c r="F10" s="923" t="s">
        <v>499</v>
      </c>
      <c r="G10" s="924"/>
      <c r="H10" s="925"/>
      <c r="I10" s="923" t="s">
        <v>500</v>
      </c>
      <c r="J10" s="924"/>
      <c r="K10" s="925"/>
      <c r="L10" s="675" t="s">
        <v>503</v>
      </c>
      <c r="M10" s="675" t="s">
        <v>504</v>
      </c>
      <c r="N10" s="675" t="s">
        <v>505</v>
      </c>
    </row>
    <row r="11" spans="1:14" ht="61.9" customHeight="1">
      <c r="A11" s="676"/>
      <c r="B11" s="676"/>
      <c r="C11" s="676"/>
      <c r="D11" s="676"/>
      <c r="E11" s="676"/>
      <c r="F11" s="28" t="s">
        <v>506</v>
      </c>
      <c r="G11" s="28" t="s">
        <v>507</v>
      </c>
      <c r="H11" s="28" t="s">
        <v>508</v>
      </c>
      <c r="I11" s="28" t="s">
        <v>509</v>
      </c>
      <c r="J11" s="28" t="s">
        <v>501</v>
      </c>
      <c r="K11" s="28" t="s">
        <v>502</v>
      </c>
      <c r="L11" s="676"/>
      <c r="M11" s="676"/>
      <c r="N11" s="676"/>
    </row>
    <row r="12" spans="1:14" ht="66">
      <c r="A12" s="567" t="s">
        <v>510</v>
      </c>
      <c r="B12" s="567" t="s">
        <v>511</v>
      </c>
      <c r="C12" s="567" t="s">
        <v>558</v>
      </c>
      <c r="D12" s="567" t="s">
        <v>513</v>
      </c>
      <c r="E12" s="30" t="s">
        <v>514</v>
      </c>
      <c r="F12" s="567" t="s">
        <v>515</v>
      </c>
      <c r="G12" s="567" t="s">
        <v>516</v>
      </c>
      <c r="H12" s="567" t="s">
        <v>517</v>
      </c>
      <c r="I12" s="30" t="s">
        <v>518</v>
      </c>
      <c r="J12" s="30" t="s">
        <v>519</v>
      </c>
      <c r="K12" s="30" t="s">
        <v>520</v>
      </c>
      <c r="L12" s="576" t="s">
        <v>521</v>
      </c>
      <c r="M12" s="576" t="s">
        <v>522</v>
      </c>
      <c r="N12" s="30" t="s">
        <v>523</v>
      </c>
    </row>
    <row r="13" spans="1:14" ht="27.75" customHeight="1">
      <c r="A13" s="30">
        <v>1</v>
      </c>
      <c r="B13" s="32">
        <v>156</v>
      </c>
      <c r="C13" s="337">
        <f>+B13/10^6</f>
        <v>1.56E-4</v>
      </c>
      <c r="D13" s="174">
        <v>47.3</v>
      </c>
      <c r="E13" s="334">
        <f>+C13*D13</f>
        <v>7.3787999999999996E-3</v>
      </c>
      <c r="F13" s="100">
        <f>+$D$34</f>
        <v>63100</v>
      </c>
      <c r="G13" s="33">
        <f>+$D$35</f>
        <v>5</v>
      </c>
      <c r="H13" s="33">
        <f>+$D$36</f>
        <v>0.1</v>
      </c>
      <c r="I13" s="99">
        <f>+E13*F13</f>
        <v>465.60227999999995</v>
      </c>
      <c r="J13" s="341">
        <f>+E13*G13</f>
        <v>3.6893999999999996E-2</v>
      </c>
      <c r="K13" s="337">
        <f>+E13*H13</f>
        <v>7.3788E-4</v>
      </c>
      <c r="L13" s="30">
        <v>27.9</v>
      </c>
      <c r="M13" s="30">
        <v>273</v>
      </c>
      <c r="N13" s="101">
        <f>+(I13+J13*L13+K13*M13)/1000</f>
        <v>0.46683306383999995</v>
      </c>
    </row>
    <row r="14" spans="1:14" ht="27.75" customHeight="1">
      <c r="A14" s="30">
        <v>2</v>
      </c>
      <c r="B14" s="32">
        <v>156</v>
      </c>
      <c r="C14" s="337">
        <f t="shared" ref="C14:C24" si="0">+B14/10^6</f>
        <v>1.56E-4</v>
      </c>
      <c r="D14" s="174">
        <v>47.3</v>
      </c>
      <c r="E14" s="334">
        <f t="shared" ref="E14:E24" si="1">+C14*D14</f>
        <v>7.3787999999999996E-3</v>
      </c>
      <c r="F14" s="100">
        <f t="shared" ref="F14:F24" si="2">+$D$34</f>
        <v>63100</v>
      </c>
      <c r="G14" s="33">
        <f t="shared" ref="G14:G24" si="3">+$D$35</f>
        <v>5</v>
      </c>
      <c r="H14" s="33">
        <f t="shared" ref="H14:H24" si="4">+$D$36</f>
        <v>0.1</v>
      </c>
      <c r="I14" s="99">
        <f t="shared" ref="I14:I24" si="5">+E14*F14</f>
        <v>465.60227999999995</v>
      </c>
      <c r="J14" s="341">
        <f t="shared" ref="J14:J24" si="6">+E14*G14</f>
        <v>3.6893999999999996E-2</v>
      </c>
      <c r="K14" s="337">
        <f t="shared" ref="K14:K24" si="7">+E14*H14</f>
        <v>7.3788E-4</v>
      </c>
      <c r="L14" s="30">
        <v>27.9</v>
      </c>
      <c r="M14" s="30">
        <v>273</v>
      </c>
      <c r="N14" s="101">
        <f t="shared" ref="N14:N24" si="8">+(I14+J14*L14+K14*M14)/1000</f>
        <v>0.46683306383999995</v>
      </c>
    </row>
    <row r="15" spans="1:14" ht="27.75" customHeight="1">
      <c r="A15" s="30">
        <v>3</v>
      </c>
      <c r="B15" s="32">
        <v>168</v>
      </c>
      <c r="C15" s="337">
        <f t="shared" si="0"/>
        <v>1.6799999999999999E-4</v>
      </c>
      <c r="D15" s="174">
        <v>47.3</v>
      </c>
      <c r="E15" s="334">
        <f t="shared" si="1"/>
        <v>7.9463999999999993E-3</v>
      </c>
      <c r="F15" s="100">
        <f t="shared" si="2"/>
        <v>63100</v>
      </c>
      <c r="G15" s="33">
        <f t="shared" si="3"/>
        <v>5</v>
      </c>
      <c r="H15" s="33">
        <f t="shared" si="4"/>
        <v>0.1</v>
      </c>
      <c r="I15" s="99">
        <f t="shared" si="5"/>
        <v>501.41783999999996</v>
      </c>
      <c r="J15" s="341">
        <f t="shared" si="6"/>
        <v>3.9731999999999996E-2</v>
      </c>
      <c r="K15" s="337">
        <f t="shared" si="7"/>
        <v>7.9463999999999999E-4</v>
      </c>
      <c r="L15" s="30">
        <v>27.9</v>
      </c>
      <c r="M15" s="30">
        <v>273</v>
      </c>
      <c r="N15" s="101">
        <f t="shared" si="8"/>
        <v>0.50274329951999996</v>
      </c>
    </row>
    <row r="16" spans="1:14" ht="27.75" customHeight="1">
      <c r="A16" s="30">
        <v>4</v>
      </c>
      <c r="B16" s="32">
        <v>156</v>
      </c>
      <c r="C16" s="337">
        <f t="shared" si="0"/>
        <v>1.56E-4</v>
      </c>
      <c r="D16" s="174">
        <v>47.3</v>
      </c>
      <c r="E16" s="334">
        <f t="shared" si="1"/>
        <v>7.3787999999999996E-3</v>
      </c>
      <c r="F16" s="100">
        <f t="shared" si="2"/>
        <v>63100</v>
      </c>
      <c r="G16" s="33">
        <f t="shared" si="3"/>
        <v>5</v>
      </c>
      <c r="H16" s="33">
        <f t="shared" si="4"/>
        <v>0.1</v>
      </c>
      <c r="I16" s="99">
        <f t="shared" si="5"/>
        <v>465.60227999999995</v>
      </c>
      <c r="J16" s="341">
        <f t="shared" si="6"/>
        <v>3.6893999999999996E-2</v>
      </c>
      <c r="K16" s="337">
        <f t="shared" si="7"/>
        <v>7.3788E-4</v>
      </c>
      <c r="L16" s="30">
        <v>27.9</v>
      </c>
      <c r="M16" s="30">
        <v>273</v>
      </c>
      <c r="N16" s="101">
        <f t="shared" si="8"/>
        <v>0.46683306383999995</v>
      </c>
    </row>
    <row r="17" spans="1:14" ht="27.75" customHeight="1">
      <c r="A17" s="30">
        <v>5</v>
      </c>
      <c r="B17" s="32">
        <v>156</v>
      </c>
      <c r="C17" s="337">
        <f t="shared" si="0"/>
        <v>1.56E-4</v>
      </c>
      <c r="D17" s="174">
        <v>47.3</v>
      </c>
      <c r="E17" s="334">
        <f t="shared" si="1"/>
        <v>7.3787999999999996E-3</v>
      </c>
      <c r="F17" s="100">
        <f t="shared" si="2"/>
        <v>63100</v>
      </c>
      <c r="G17" s="33">
        <f t="shared" si="3"/>
        <v>5</v>
      </c>
      <c r="H17" s="33">
        <f t="shared" si="4"/>
        <v>0.1</v>
      </c>
      <c r="I17" s="99">
        <f t="shared" si="5"/>
        <v>465.60227999999995</v>
      </c>
      <c r="J17" s="341">
        <f t="shared" si="6"/>
        <v>3.6893999999999996E-2</v>
      </c>
      <c r="K17" s="337">
        <f t="shared" si="7"/>
        <v>7.3788E-4</v>
      </c>
      <c r="L17" s="30">
        <v>27.9</v>
      </c>
      <c r="M17" s="30">
        <v>273</v>
      </c>
      <c r="N17" s="101">
        <f t="shared" si="8"/>
        <v>0.46683306383999995</v>
      </c>
    </row>
    <row r="18" spans="1:14" ht="27.75" customHeight="1">
      <c r="A18" s="30">
        <v>6</v>
      </c>
      <c r="B18" s="32">
        <v>144</v>
      </c>
      <c r="C18" s="337">
        <f t="shared" si="0"/>
        <v>1.44E-4</v>
      </c>
      <c r="D18" s="174">
        <v>47.3</v>
      </c>
      <c r="E18" s="334">
        <f t="shared" si="1"/>
        <v>6.8111999999999999E-3</v>
      </c>
      <c r="F18" s="100">
        <f t="shared" si="2"/>
        <v>63100</v>
      </c>
      <c r="G18" s="33">
        <f t="shared" si="3"/>
        <v>5</v>
      </c>
      <c r="H18" s="33">
        <f t="shared" si="4"/>
        <v>0.1</v>
      </c>
      <c r="I18" s="99">
        <f t="shared" si="5"/>
        <v>429.78672</v>
      </c>
      <c r="J18" s="341">
        <f t="shared" si="6"/>
        <v>3.4056000000000003E-2</v>
      </c>
      <c r="K18" s="337">
        <f t="shared" si="7"/>
        <v>6.8112000000000001E-4</v>
      </c>
      <c r="L18" s="30">
        <v>27.9</v>
      </c>
      <c r="M18" s="30">
        <v>273</v>
      </c>
      <c r="N18" s="101">
        <f t="shared" si="8"/>
        <v>0.43092282815999999</v>
      </c>
    </row>
    <row r="19" spans="1:14" ht="27.75" customHeight="1">
      <c r="A19" s="30">
        <v>7</v>
      </c>
      <c r="B19" s="32">
        <v>204</v>
      </c>
      <c r="C19" s="337">
        <f t="shared" si="0"/>
        <v>2.04E-4</v>
      </c>
      <c r="D19" s="174">
        <v>47.3</v>
      </c>
      <c r="E19" s="334">
        <f t="shared" si="1"/>
        <v>9.6492000000000001E-3</v>
      </c>
      <c r="F19" s="100">
        <f t="shared" si="2"/>
        <v>63100</v>
      </c>
      <c r="G19" s="33">
        <f t="shared" si="3"/>
        <v>5</v>
      </c>
      <c r="H19" s="33">
        <f t="shared" si="4"/>
        <v>0.1</v>
      </c>
      <c r="I19" s="99">
        <f t="shared" si="5"/>
        <v>608.86451999999997</v>
      </c>
      <c r="J19" s="341">
        <f t="shared" si="6"/>
        <v>4.8245999999999997E-2</v>
      </c>
      <c r="K19" s="337">
        <f t="shared" si="7"/>
        <v>9.6492000000000008E-4</v>
      </c>
      <c r="L19" s="30">
        <v>27.9</v>
      </c>
      <c r="M19" s="30">
        <v>273</v>
      </c>
      <c r="N19" s="101">
        <f t="shared" si="8"/>
        <v>0.61047400656000006</v>
      </c>
    </row>
    <row r="20" spans="1:14" ht="27.75" customHeight="1">
      <c r="A20" s="30">
        <v>8</v>
      </c>
      <c r="B20" s="32">
        <v>144</v>
      </c>
      <c r="C20" s="337">
        <f t="shared" si="0"/>
        <v>1.44E-4</v>
      </c>
      <c r="D20" s="174">
        <v>47.3</v>
      </c>
      <c r="E20" s="334">
        <f t="shared" si="1"/>
        <v>6.8111999999999999E-3</v>
      </c>
      <c r="F20" s="100">
        <f t="shared" si="2"/>
        <v>63100</v>
      </c>
      <c r="G20" s="33">
        <f t="shared" si="3"/>
        <v>5</v>
      </c>
      <c r="H20" s="33">
        <f t="shared" si="4"/>
        <v>0.1</v>
      </c>
      <c r="I20" s="99">
        <f t="shared" si="5"/>
        <v>429.78672</v>
      </c>
      <c r="J20" s="341">
        <f t="shared" si="6"/>
        <v>3.4056000000000003E-2</v>
      </c>
      <c r="K20" s="337">
        <f t="shared" si="7"/>
        <v>6.8112000000000001E-4</v>
      </c>
      <c r="L20" s="30">
        <v>27.9</v>
      </c>
      <c r="M20" s="30">
        <v>273</v>
      </c>
      <c r="N20" s="101">
        <f t="shared" si="8"/>
        <v>0.43092282815999999</v>
      </c>
    </row>
    <row r="21" spans="1:14" ht="27.75" customHeight="1">
      <c r="A21" s="30">
        <v>9</v>
      </c>
      <c r="B21" s="32">
        <v>144</v>
      </c>
      <c r="C21" s="337">
        <f t="shared" si="0"/>
        <v>1.44E-4</v>
      </c>
      <c r="D21" s="174">
        <v>47.3</v>
      </c>
      <c r="E21" s="334">
        <f t="shared" si="1"/>
        <v>6.8111999999999999E-3</v>
      </c>
      <c r="F21" s="100">
        <f t="shared" si="2"/>
        <v>63100</v>
      </c>
      <c r="G21" s="33">
        <f t="shared" si="3"/>
        <v>5</v>
      </c>
      <c r="H21" s="33">
        <f t="shared" si="4"/>
        <v>0.1</v>
      </c>
      <c r="I21" s="99">
        <f t="shared" si="5"/>
        <v>429.78672</v>
      </c>
      <c r="J21" s="341">
        <f t="shared" si="6"/>
        <v>3.4056000000000003E-2</v>
      </c>
      <c r="K21" s="337">
        <f t="shared" si="7"/>
        <v>6.8112000000000001E-4</v>
      </c>
      <c r="L21" s="30">
        <v>27.9</v>
      </c>
      <c r="M21" s="30">
        <v>273</v>
      </c>
      <c r="N21" s="101">
        <f t="shared" si="8"/>
        <v>0.43092282815999999</v>
      </c>
    </row>
    <row r="22" spans="1:14" ht="27.75" customHeight="1">
      <c r="A22" s="30">
        <v>10</v>
      </c>
      <c r="B22" s="32">
        <v>228</v>
      </c>
      <c r="C22" s="337">
        <f t="shared" si="0"/>
        <v>2.2800000000000001E-4</v>
      </c>
      <c r="D22" s="174">
        <v>47.3</v>
      </c>
      <c r="E22" s="334">
        <f t="shared" si="1"/>
        <v>1.07844E-2</v>
      </c>
      <c r="F22" s="100">
        <f t="shared" si="2"/>
        <v>63100</v>
      </c>
      <c r="G22" s="33">
        <f t="shared" si="3"/>
        <v>5</v>
      </c>
      <c r="H22" s="33">
        <f t="shared" si="4"/>
        <v>0.1</v>
      </c>
      <c r="I22" s="99">
        <f t="shared" si="5"/>
        <v>680.49563999999998</v>
      </c>
      <c r="J22" s="341">
        <f t="shared" si="6"/>
        <v>5.3921999999999998E-2</v>
      </c>
      <c r="K22" s="337">
        <f t="shared" si="7"/>
        <v>1.07844E-3</v>
      </c>
      <c r="L22" s="30">
        <v>27.9</v>
      </c>
      <c r="M22" s="30">
        <v>273</v>
      </c>
      <c r="N22" s="101">
        <f t="shared" si="8"/>
        <v>0.68229447792000009</v>
      </c>
    </row>
    <row r="23" spans="1:14" ht="27.75" customHeight="1">
      <c r="A23" s="30">
        <v>11</v>
      </c>
      <c r="B23" s="32">
        <v>192</v>
      </c>
      <c r="C23" s="337">
        <f t="shared" si="0"/>
        <v>1.92E-4</v>
      </c>
      <c r="D23" s="174">
        <v>47.3</v>
      </c>
      <c r="E23" s="334">
        <f t="shared" si="1"/>
        <v>9.0816000000000004E-3</v>
      </c>
      <c r="F23" s="100">
        <f t="shared" si="2"/>
        <v>63100</v>
      </c>
      <c r="G23" s="33">
        <f t="shared" si="3"/>
        <v>5</v>
      </c>
      <c r="H23" s="33">
        <f t="shared" si="4"/>
        <v>0.1</v>
      </c>
      <c r="I23" s="99">
        <f t="shared" si="5"/>
        <v>573.04896000000008</v>
      </c>
      <c r="J23" s="341">
        <f t="shared" si="6"/>
        <v>4.5408000000000004E-2</v>
      </c>
      <c r="K23" s="337">
        <f t="shared" si="7"/>
        <v>9.0816000000000009E-4</v>
      </c>
      <c r="L23" s="30">
        <v>27.9</v>
      </c>
      <c r="M23" s="30">
        <v>273</v>
      </c>
      <c r="N23" s="101">
        <f t="shared" si="8"/>
        <v>0.5745637708800001</v>
      </c>
    </row>
    <row r="24" spans="1:14" ht="27.75" customHeight="1">
      <c r="A24" s="30">
        <v>12</v>
      </c>
      <c r="B24" s="32">
        <v>240</v>
      </c>
      <c r="C24" s="337">
        <f t="shared" si="0"/>
        <v>2.4000000000000001E-4</v>
      </c>
      <c r="D24" s="174">
        <v>47.3</v>
      </c>
      <c r="E24" s="334">
        <f t="shared" si="1"/>
        <v>1.1351999999999999E-2</v>
      </c>
      <c r="F24" s="100">
        <f t="shared" si="2"/>
        <v>63100</v>
      </c>
      <c r="G24" s="33">
        <f t="shared" si="3"/>
        <v>5</v>
      </c>
      <c r="H24" s="33">
        <f t="shared" si="4"/>
        <v>0.1</v>
      </c>
      <c r="I24" s="99">
        <f t="shared" si="5"/>
        <v>716.31119999999999</v>
      </c>
      <c r="J24" s="341">
        <f t="shared" si="6"/>
        <v>5.6759999999999998E-2</v>
      </c>
      <c r="K24" s="337">
        <f t="shared" si="7"/>
        <v>1.1352000000000001E-3</v>
      </c>
      <c r="L24" s="30">
        <v>27.9</v>
      </c>
      <c r="M24" s="30">
        <v>273</v>
      </c>
      <c r="N24" s="101">
        <f t="shared" si="8"/>
        <v>0.71820471360000004</v>
      </c>
    </row>
    <row r="25" spans="1:14" ht="27.75" customHeight="1">
      <c r="A25" s="102" t="s">
        <v>469</v>
      </c>
      <c r="B25" s="103">
        <f>SUM(B13:B24)</f>
        <v>2088</v>
      </c>
      <c r="C25" s="338">
        <f>SUM(C13:C24)</f>
        <v>2.088E-3</v>
      </c>
      <c r="D25" s="103"/>
      <c r="E25" s="339">
        <f>SUM(E13:E24)</f>
        <v>9.87624E-2</v>
      </c>
      <c r="F25" s="105"/>
      <c r="G25" s="103"/>
      <c r="H25" s="103"/>
      <c r="I25" s="269">
        <f>SUM(I13:I24)</f>
        <v>6231.90744</v>
      </c>
      <c r="J25" s="342">
        <f>SUM(J13:J24)</f>
        <v>0.49381199999999997</v>
      </c>
      <c r="K25" s="261">
        <f>SUM(K13:K24)</f>
        <v>9.8762399999999997E-3</v>
      </c>
      <c r="L25" s="107"/>
      <c r="M25" s="107"/>
      <c r="N25" s="106">
        <f>SUM(N13:N24)</f>
        <v>6.2483810083200009</v>
      </c>
    </row>
    <row r="26" spans="1:14" ht="12" hidden="1" customHeight="1">
      <c r="A26" s="52"/>
      <c r="B26" s="52"/>
      <c r="C26" s="52"/>
      <c r="D26" s="52"/>
      <c r="E26" s="52"/>
      <c r="F26" s="52"/>
      <c r="G26" s="52"/>
      <c r="H26" s="52"/>
      <c r="I26" s="275">
        <f>+I25/1000</f>
        <v>6.2319074399999996</v>
      </c>
      <c r="J26" s="276">
        <f>+J25*L24/1000</f>
        <v>1.3777354799999997E-2</v>
      </c>
      <c r="K26" s="275">
        <f>+K25*M24/1000</f>
        <v>2.6962135199999999E-3</v>
      </c>
      <c r="L26" s="52"/>
      <c r="M26" s="52"/>
      <c r="N26" s="52"/>
    </row>
    <row r="27" spans="1:14" ht="16.5">
      <c r="A27" s="52"/>
      <c r="B27" s="52"/>
      <c r="C27" s="52"/>
      <c r="D27" s="52"/>
      <c r="E27" s="52"/>
      <c r="F27" s="52"/>
      <c r="G27" s="52"/>
      <c r="H27" s="52"/>
      <c r="I27" s="52"/>
      <c r="J27" s="52"/>
      <c r="K27" s="52"/>
      <c r="L27" s="52"/>
      <c r="M27" s="52"/>
      <c r="N27" s="52"/>
    </row>
    <row r="28" spans="1:14" s="208" customFormat="1" ht="16.5">
      <c r="A28" s="306" t="s">
        <v>524</v>
      </c>
      <c r="B28" s="23"/>
      <c r="C28" s="23"/>
      <c r="D28" s="23"/>
      <c r="E28" s="23"/>
      <c r="F28" s="23"/>
      <c r="G28" s="23"/>
      <c r="H28" s="23"/>
      <c r="I28" s="23"/>
      <c r="J28" s="23"/>
      <c r="K28" s="23"/>
      <c r="L28" s="23"/>
      <c r="M28" s="23"/>
      <c r="N28" s="23"/>
    </row>
    <row r="29" spans="1:14" s="208" customFormat="1" ht="16.5">
      <c r="A29" s="23"/>
      <c r="B29" s="23"/>
      <c r="C29" s="23"/>
      <c r="D29" s="23"/>
      <c r="E29" s="23"/>
      <c r="F29" s="23"/>
      <c r="G29" s="23"/>
      <c r="H29" s="23"/>
      <c r="I29" s="23"/>
      <c r="J29" s="23"/>
      <c r="K29" s="23"/>
      <c r="L29" s="23"/>
      <c r="M29" s="23"/>
      <c r="N29" s="23"/>
    </row>
    <row r="30" spans="1:14" s="208" customFormat="1" ht="19.149999999999999" customHeight="1">
      <c r="A30" s="936" t="s">
        <v>525</v>
      </c>
      <c r="B30" s="936"/>
      <c r="C30" s="936"/>
      <c r="D30" s="936" t="s">
        <v>526</v>
      </c>
      <c r="E30" s="936"/>
      <c r="F30" s="340" t="s">
        <v>527</v>
      </c>
      <c r="G30" s="936" t="s">
        <v>528</v>
      </c>
      <c r="H30" s="936"/>
      <c r="I30" s="936"/>
      <c r="J30" s="936"/>
      <c r="K30" s="936"/>
      <c r="L30" s="936"/>
      <c r="M30" s="936"/>
      <c r="N30" s="936"/>
    </row>
    <row r="31" spans="1:14" s="208" customFormat="1" ht="23.45" customHeight="1">
      <c r="A31" s="671" t="s">
        <v>529</v>
      </c>
      <c r="B31" s="671"/>
      <c r="C31" s="671"/>
      <c r="D31" s="895" t="s">
        <v>530</v>
      </c>
      <c r="E31" s="895"/>
      <c r="F31" s="177" t="s">
        <v>531</v>
      </c>
      <c r="G31" s="895" t="s">
        <v>532</v>
      </c>
      <c r="H31" s="895"/>
      <c r="I31" s="895"/>
      <c r="J31" s="895"/>
      <c r="K31" s="895"/>
      <c r="L31" s="895"/>
      <c r="M31" s="895"/>
      <c r="N31" s="895"/>
    </row>
    <row r="32" spans="1:14" s="208" customFormat="1" ht="35.450000000000003" customHeight="1">
      <c r="A32" s="936" t="s">
        <v>559</v>
      </c>
      <c r="B32" s="936"/>
      <c r="C32" s="936"/>
      <c r="D32" s="936" t="s">
        <v>526</v>
      </c>
      <c r="E32" s="936"/>
      <c r="F32" s="340" t="s">
        <v>527</v>
      </c>
      <c r="G32" s="936" t="s">
        <v>528</v>
      </c>
      <c r="H32" s="936"/>
      <c r="I32" s="936"/>
      <c r="J32" s="936"/>
      <c r="K32" s="936"/>
      <c r="L32" s="937" t="s">
        <v>537</v>
      </c>
      <c r="M32" s="937"/>
      <c r="N32" s="937"/>
    </row>
    <row r="33" spans="1:14" s="208" customFormat="1" ht="23.45" customHeight="1">
      <c r="A33" s="895" t="s">
        <v>560</v>
      </c>
      <c r="B33" s="895"/>
      <c r="C33" s="895"/>
      <c r="D33" s="897">
        <v>47.3</v>
      </c>
      <c r="E33" s="897"/>
      <c r="F33" s="177" t="s">
        <v>539</v>
      </c>
      <c r="G33" s="895" t="s">
        <v>540</v>
      </c>
      <c r="H33" s="895"/>
      <c r="I33" s="895"/>
      <c r="J33" s="895"/>
      <c r="K33" s="895"/>
      <c r="L33" s="731"/>
      <c r="M33" s="731"/>
      <c r="N33" s="731"/>
    </row>
    <row r="34" spans="1:14" s="208" customFormat="1" ht="23.45" customHeight="1">
      <c r="A34" s="895" t="s">
        <v>541</v>
      </c>
      <c r="B34" s="895"/>
      <c r="C34" s="895"/>
      <c r="D34" s="898">
        <v>63100</v>
      </c>
      <c r="E34" s="898"/>
      <c r="F34" s="177" t="s">
        <v>542</v>
      </c>
      <c r="G34" s="895" t="s">
        <v>566</v>
      </c>
      <c r="H34" s="895"/>
      <c r="I34" s="895"/>
      <c r="J34" s="895"/>
      <c r="K34" s="895"/>
      <c r="L34" s="731" t="s">
        <v>544</v>
      </c>
      <c r="M34" s="731"/>
      <c r="N34" s="731"/>
    </row>
    <row r="35" spans="1:14" s="208" customFormat="1" ht="23.45" customHeight="1">
      <c r="A35" s="895" t="s">
        <v>545</v>
      </c>
      <c r="B35" s="895"/>
      <c r="C35" s="895"/>
      <c r="D35" s="896">
        <v>5</v>
      </c>
      <c r="E35" s="896"/>
      <c r="F35" s="177" t="s">
        <v>542</v>
      </c>
      <c r="G35" s="895" t="s">
        <v>567</v>
      </c>
      <c r="H35" s="895"/>
      <c r="I35" s="895"/>
      <c r="J35" s="895"/>
      <c r="K35" s="895"/>
      <c r="L35" s="731" t="s">
        <v>544</v>
      </c>
      <c r="M35" s="731"/>
      <c r="N35" s="731"/>
    </row>
    <row r="36" spans="1:14" s="208" customFormat="1" ht="23.45" customHeight="1">
      <c r="A36" s="895" t="s">
        <v>547</v>
      </c>
      <c r="B36" s="895"/>
      <c r="C36" s="895"/>
      <c r="D36" s="896">
        <v>0.1</v>
      </c>
      <c r="E36" s="896"/>
      <c r="F36" s="177" t="s">
        <v>542</v>
      </c>
      <c r="G36" s="895" t="s">
        <v>568</v>
      </c>
      <c r="H36" s="895"/>
      <c r="I36" s="895"/>
      <c r="J36" s="895"/>
      <c r="K36" s="895"/>
      <c r="L36" s="731" t="s">
        <v>544</v>
      </c>
      <c r="M36" s="731"/>
      <c r="N36" s="731"/>
    </row>
    <row r="37" spans="1:14" s="208" customFormat="1" ht="23.45" customHeight="1">
      <c r="A37" s="895" t="s">
        <v>549</v>
      </c>
      <c r="B37" s="895"/>
      <c r="C37" s="895"/>
      <c r="D37" s="896">
        <v>27.9</v>
      </c>
      <c r="E37" s="896"/>
      <c r="F37" s="177"/>
      <c r="G37" s="895" t="s">
        <v>550</v>
      </c>
      <c r="H37" s="895"/>
      <c r="I37" s="895"/>
      <c r="J37" s="895"/>
      <c r="K37" s="895"/>
      <c r="L37" s="731"/>
      <c r="M37" s="731"/>
      <c r="N37" s="731"/>
    </row>
    <row r="38" spans="1:14" s="208" customFormat="1" ht="23.45" customHeight="1">
      <c r="A38" s="895" t="s">
        <v>551</v>
      </c>
      <c r="B38" s="895"/>
      <c r="C38" s="895"/>
      <c r="D38" s="896">
        <v>273</v>
      </c>
      <c r="E38" s="896"/>
      <c r="F38" s="177"/>
      <c r="G38" s="895" t="s">
        <v>550</v>
      </c>
      <c r="H38" s="895"/>
      <c r="I38" s="895"/>
      <c r="J38" s="895"/>
      <c r="K38" s="895"/>
      <c r="L38" s="731"/>
      <c r="M38" s="731"/>
      <c r="N38" s="731"/>
    </row>
  </sheetData>
  <mergeCells count="47">
    <mergeCell ref="F10:H10"/>
    <mergeCell ref="I10:K10"/>
    <mergeCell ref="A30:C30"/>
    <mergeCell ref="D30:E30"/>
    <mergeCell ref="G30:N30"/>
    <mergeCell ref="A10:A11"/>
    <mergeCell ref="B10:B11"/>
    <mergeCell ref="C10:C11"/>
    <mergeCell ref="D10:D11"/>
    <mergeCell ref="E10:E11"/>
    <mergeCell ref="L10:L11"/>
    <mergeCell ref="M10:M11"/>
    <mergeCell ref="N10:N11"/>
    <mergeCell ref="D31:E31"/>
    <mergeCell ref="G31:N31"/>
    <mergeCell ref="A32:C32"/>
    <mergeCell ref="D32:E32"/>
    <mergeCell ref="G32:K32"/>
    <mergeCell ref="L32:N32"/>
    <mergeCell ref="A38:C38"/>
    <mergeCell ref="D38:E38"/>
    <mergeCell ref="G38:K38"/>
    <mergeCell ref="L38:N38"/>
    <mergeCell ref="A35:C35"/>
    <mergeCell ref="D35:E35"/>
    <mergeCell ref="G35:K35"/>
    <mergeCell ref="L35:N35"/>
    <mergeCell ref="A36:C36"/>
    <mergeCell ref="D36:E36"/>
    <mergeCell ref="G36:K36"/>
    <mergeCell ref="L36:N36"/>
    <mergeCell ref="A1:B3"/>
    <mergeCell ref="M1:N3"/>
    <mergeCell ref="C1:L3"/>
    <mergeCell ref="A37:C37"/>
    <mergeCell ref="D37:E37"/>
    <mergeCell ref="G37:K37"/>
    <mergeCell ref="L37:N37"/>
    <mergeCell ref="A33:C33"/>
    <mergeCell ref="D33:E33"/>
    <mergeCell ref="G33:K33"/>
    <mergeCell ref="L33:N33"/>
    <mergeCell ref="A34:C34"/>
    <mergeCell ref="D34:E34"/>
    <mergeCell ref="G34:K34"/>
    <mergeCell ref="L34:N34"/>
    <mergeCell ref="A31:C31"/>
  </mergeCells>
  <pageMargins left="0.98425196850393704" right="0.59055118110236204" top="0.78740157480314998" bottom="0.78740157480314998" header="0.31496062992126" footer="0.31496062992126"/>
  <pageSetup scale="62"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pageSetUpPr fitToPage="1"/>
  </sheetPr>
  <dimension ref="A1:F39"/>
  <sheetViews>
    <sheetView topLeftCell="A28" zoomScale="80" zoomScaleNormal="80" workbookViewId="0">
      <selection activeCell="F1" sqref="F1:F3"/>
    </sheetView>
  </sheetViews>
  <sheetFormatPr defaultColWidth="9.28515625" defaultRowHeight="15"/>
  <cols>
    <col min="1" max="1" width="9.7109375" style="90" customWidth="1"/>
    <col min="2" max="2" width="19" style="90" customWidth="1"/>
    <col min="3" max="3" width="25" style="90" customWidth="1"/>
    <col min="4" max="4" width="25.28515625" style="90" customWidth="1"/>
    <col min="5" max="5" width="37.42578125" style="90" customWidth="1"/>
    <col min="6" max="6" width="26" style="90" customWidth="1"/>
    <col min="7" max="7" width="23.28515625" style="90" customWidth="1"/>
    <col min="8" max="16384" width="9.28515625" style="90"/>
  </cols>
  <sheetData>
    <row r="1" spans="1:6" ht="25.9" customHeight="1">
      <c r="A1" s="938"/>
      <c r="B1" s="939"/>
      <c r="C1" s="901" t="s">
        <v>569</v>
      </c>
      <c r="D1" s="944"/>
      <c r="E1" s="902"/>
      <c r="F1" s="902" t="s">
        <v>1111</v>
      </c>
    </row>
    <row r="2" spans="1:6" ht="25.9" customHeight="1">
      <c r="A2" s="940"/>
      <c r="B2" s="941"/>
      <c r="C2" s="903"/>
      <c r="D2" s="945"/>
      <c r="E2" s="904"/>
      <c r="F2" s="904"/>
    </row>
    <row r="3" spans="1:6" ht="52.5" customHeight="1">
      <c r="A3" s="942"/>
      <c r="B3" s="943"/>
      <c r="C3" s="905"/>
      <c r="D3" s="946"/>
      <c r="E3" s="906"/>
      <c r="F3" s="906"/>
    </row>
    <row r="4" spans="1:6">
      <c r="A4" s="313"/>
      <c r="B4" s="312"/>
      <c r="C4" s="312"/>
      <c r="D4" s="312"/>
      <c r="E4" s="312"/>
      <c r="F4" s="325"/>
    </row>
    <row r="5" spans="1:6" ht="22.15" customHeight="1">
      <c r="A5" s="91" t="s">
        <v>570</v>
      </c>
      <c r="B5" s="23"/>
      <c r="C5" s="23"/>
      <c r="D5" s="23"/>
      <c r="E5" s="23"/>
      <c r="F5" s="24"/>
    </row>
    <row r="6" spans="1:6" ht="22.15" customHeight="1">
      <c r="A6" s="26" t="s">
        <v>571</v>
      </c>
      <c r="B6" s="23"/>
      <c r="C6" s="23"/>
      <c r="D6" s="23"/>
      <c r="E6" s="23"/>
      <c r="F6" s="24"/>
    </row>
    <row r="7" spans="1:6" ht="22.15" customHeight="1">
      <c r="A7" s="26" t="s">
        <v>492</v>
      </c>
      <c r="B7" s="23"/>
      <c r="C7" s="23"/>
      <c r="D7" s="23"/>
      <c r="E7" s="23"/>
      <c r="F7" s="24"/>
    </row>
    <row r="8" spans="1:6" ht="22.15" customHeight="1">
      <c r="A8" s="27" t="s">
        <v>493</v>
      </c>
      <c r="B8" s="23"/>
      <c r="C8" s="23"/>
      <c r="D8" s="23"/>
      <c r="E8" s="23"/>
      <c r="F8" s="24"/>
    </row>
    <row r="9" spans="1:6" ht="16.5">
      <c r="A9" s="249"/>
      <c r="B9" s="23"/>
      <c r="C9" s="23"/>
      <c r="D9" s="23"/>
      <c r="E9" s="23"/>
      <c r="F9" s="24"/>
    </row>
    <row r="10" spans="1:6" ht="19.149999999999999" customHeight="1">
      <c r="A10" s="675" t="s">
        <v>494</v>
      </c>
      <c r="B10" s="675" t="s">
        <v>554</v>
      </c>
      <c r="C10" s="675" t="s">
        <v>572</v>
      </c>
      <c r="D10" s="675" t="s">
        <v>573</v>
      </c>
      <c r="E10" s="675" t="s">
        <v>574</v>
      </c>
      <c r="F10" s="675" t="s">
        <v>505</v>
      </c>
    </row>
    <row r="11" spans="1:6" ht="64.150000000000006" customHeight="1">
      <c r="A11" s="676"/>
      <c r="B11" s="676"/>
      <c r="C11" s="676"/>
      <c r="D11" s="676"/>
      <c r="E11" s="676"/>
      <c r="F11" s="676"/>
    </row>
    <row r="12" spans="1:6" ht="33" customHeight="1">
      <c r="A12" s="567" t="s">
        <v>510</v>
      </c>
      <c r="B12" s="567" t="s">
        <v>511</v>
      </c>
      <c r="C12" s="567" t="s">
        <v>575</v>
      </c>
      <c r="D12" s="567" t="s">
        <v>576</v>
      </c>
      <c r="E12" s="567" t="s">
        <v>577</v>
      </c>
      <c r="F12" s="567" t="s">
        <v>578</v>
      </c>
    </row>
    <row r="13" spans="1:6" ht="16.5">
      <c r="A13" s="30">
        <v>1</v>
      </c>
      <c r="B13" s="299">
        <v>0</v>
      </c>
      <c r="C13" s="301">
        <v>1</v>
      </c>
      <c r="D13" s="174">
        <f>+B13*C13</f>
        <v>0</v>
      </c>
      <c r="E13" s="336">
        <v>1.375</v>
      </c>
      <c r="F13" s="101">
        <f>+D13*E13/1000</f>
        <v>0</v>
      </c>
    </row>
    <row r="14" spans="1:6" ht="16.5">
      <c r="A14" s="30">
        <v>2</v>
      </c>
      <c r="B14" s="299">
        <v>20</v>
      </c>
      <c r="C14" s="301">
        <v>1</v>
      </c>
      <c r="D14" s="174">
        <f t="shared" ref="D14:D24" si="0">+B14*C14</f>
        <v>20</v>
      </c>
      <c r="E14" s="336">
        <v>1.375</v>
      </c>
      <c r="F14" s="101">
        <f t="shared" ref="F14:F24" si="1">+D14*E14/1000</f>
        <v>2.75E-2</v>
      </c>
    </row>
    <row r="15" spans="1:6" ht="16.5">
      <c r="A15" s="30">
        <v>3</v>
      </c>
      <c r="B15" s="299">
        <v>0</v>
      </c>
      <c r="C15" s="301">
        <v>1</v>
      </c>
      <c r="D15" s="174">
        <f t="shared" si="0"/>
        <v>0</v>
      </c>
      <c r="E15" s="336">
        <v>1.375</v>
      </c>
      <c r="F15" s="101">
        <f t="shared" si="1"/>
        <v>0</v>
      </c>
    </row>
    <row r="16" spans="1:6" ht="16.5">
      <c r="A16" s="30">
        <v>4</v>
      </c>
      <c r="B16" s="299">
        <v>20</v>
      </c>
      <c r="C16" s="301">
        <v>1</v>
      </c>
      <c r="D16" s="174">
        <f t="shared" si="0"/>
        <v>20</v>
      </c>
      <c r="E16" s="336">
        <v>1.375</v>
      </c>
      <c r="F16" s="101">
        <f t="shared" si="1"/>
        <v>2.75E-2</v>
      </c>
    </row>
    <row r="17" spans="1:6" ht="16.5">
      <c r="A17" s="30">
        <v>5</v>
      </c>
      <c r="B17" s="299">
        <v>20</v>
      </c>
      <c r="C17" s="301">
        <v>1</v>
      </c>
      <c r="D17" s="174">
        <f t="shared" si="0"/>
        <v>20</v>
      </c>
      <c r="E17" s="336">
        <v>1.375</v>
      </c>
      <c r="F17" s="101">
        <f t="shared" si="1"/>
        <v>2.75E-2</v>
      </c>
    </row>
    <row r="18" spans="1:6" ht="16.5">
      <c r="A18" s="30">
        <v>6</v>
      </c>
      <c r="B18" s="299">
        <v>40</v>
      </c>
      <c r="C18" s="301">
        <v>1</v>
      </c>
      <c r="D18" s="174">
        <f t="shared" si="0"/>
        <v>40</v>
      </c>
      <c r="E18" s="336">
        <v>1.375</v>
      </c>
      <c r="F18" s="101">
        <f t="shared" si="1"/>
        <v>5.5E-2</v>
      </c>
    </row>
    <row r="19" spans="1:6" ht="16.5">
      <c r="A19" s="30">
        <v>7</v>
      </c>
      <c r="B19" s="299">
        <v>0</v>
      </c>
      <c r="C19" s="301">
        <v>1</v>
      </c>
      <c r="D19" s="174">
        <f t="shared" si="0"/>
        <v>0</v>
      </c>
      <c r="E19" s="336">
        <v>1.375</v>
      </c>
      <c r="F19" s="101">
        <f t="shared" si="1"/>
        <v>0</v>
      </c>
    </row>
    <row r="20" spans="1:6" ht="16.5">
      <c r="A20" s="30">
        <v>8</v>
      </c>
      <c r="B20" s="299">
        <v>60</v>
      </c>
      <c r="C20" s="301">
        <v>1</v>
      </c>
      <c r="D20" s="174">
        <f t="shared" si="0"/>
        <v>60</v>
      </c>
      <c r="E20" s="336">
        <v>1.375</v>
      </c>
      <c r="F20" s="101">
        <f t="shared" si="1"/>
        <v>8.2500000000000004E-2</v>
      </c>
    </row>
    <row r="21" spans="1:6" ht="16.5">
      <c r="A21" s="30">
        <v>9</v>
      </c>
      <c r="B21" s="299">
        <v>0</v>
      </c>
      <c r="C21" s="301">
        <v>1</v>
      </c>
      <c r="D21" s="174">
        <f t="shared" si="0"/>
        <v>0</v>
      </c>
      <c r="E21" s="336">
        <v>1.375</v>
      </c>
      <c r="F21" s="101">
        <f t="shared" si="1"/>
        <v>0</v>
      </c>
    </row>
    <row r="22" spans="1:6" ht="16.5">
      <c r="A22" s="30">
        <v>10</v>
      </c>
      <c r="B22" s="299">
        <v>40</v>
      </c>
      <c r="C22" s="301">
        <v>1</v>
      </c>
      <c r="D22" s="174">
        <f t="shared" si="0"/>
        <v>40</v>
      </c>
      <c r="E22" s="336">
        <v>1.375</v>
      </c>
      <c r="F22" s="101">
        <f t="shared" si="1"/>
        <v>5.5E-2</v>
      </c>
    </row>
    <row r="23" spans="1:6" ht="16.5">
      <c r="A23" s="30">
        <v>11</v>
      </c>
      <c r="B23" s="299">
        <v>0</v>
      </c>
      <c r="C23" s="301">
        <v>1</v>
      </c>
      <c r="D23" s="174">
        <f t="shared" si="0"/>
        <v>0</v>
      </c>
      <c r="E23" s="336">
        <v>1.375</v>
      </c>
      <c r="F23" s="101">
        <f t="shared" si="1"/>
        <v>0</v>
      </c>
    </row>
    <row r="24" spans="1:6" ht="16.5">
      <c r="A24" s="30">
        <v>12</v>
      </c>
      <c r="B24" s="299">
        <v>0</v>
      </c>
      <c r="C24" s="301">
        <v>1</v>
      </c>
      <c r="D24" s="174">
        <f t="shared" si="0"/>
        <v>0</v>
      </c>
      <c r="E24" s="336">
        <v>1.375</v>
      </c>
      <c r="F24" s="101">
        <f t="shared" si="1"/>
        <v>0</v>
      </c>
    </row>
    <row r="25" spans="1:6" ht="18.75">
      <c r="A25" s="302" t="s">
        <v>469</v>
      </c>
      <c r="B25" s="303">
        <f>SUM(B13:B24)</f>
        <v>200</v>
      </c>
      <c r="C25" s="301">
        <v>1</v>
      </c>
      <c r="D25" s="303">
        <f>SUM(D13:D24)</f>
        <v>200</v>
      </c>
      <c r="E25" s="303"/>
      <c r="F25" s="304">
        <f>SUM(F13:F24)</f>
        <v>0.27500000000000002</v>
      </c>
    </row>
    <row r="26" spans="1:6" ht="11.45" customHeight="1">
      <c r="A26" s="312"/>
      <c r="B26" s="312"/>
      <c r="C26" s="312"/>
      <c r="D26" s="312"/>
      <c r="E26" s="312"/>
      <c r="F26" s="312"/>
    </row>
    <row r="27" spans="1:6" ht="10.15" customHeight="1">
      <c r="A27" s="312"/>
      <c r="B27" s="312"/>
      <c r="C27" s="312"/>
      <c r="D27" s="312"/>
      <c r="E27" s="312"/>
      <c r="F27" s="312"/>
    </row>
    <row r="28" spans="1:6" ht="16.5">
      <c r="A28" s="951" t="s">
        <v>524</v>
      </c>
      <c r="B28" s="952"/>
      <c r="C28" s="952"/>
      <c r="D28" s="952"/>
      <c r="E28" s="952"/>
      <c r="F28" s="953"/>
    </row>
    <row r="29" spans="1:6" ht="16.5">
      <c r="A29" s="947" t="s">
        <v>579</v>
      </c>
      <c r="B29" s="949"/>
      <c r="C29" s="949"/>
      <c r="D29" s="949"/>
      <c r="E29" s="949"/>
      <c r="F29" s="948"/>
    </row>
    <row r="30" spans="1:6" ht="16.5">
      <c r="A30" s="947" t="s">
        <v>580</v>
      </c>
      <c r="B30" s="949"/>
      <c r="C30" s="949"/>
      <c r="D30" s="949"/>
      <c r="E30" s="949"/>
      <c r="F30" s="948"/>
    </row>
    <row r="31" spans="1:6" ht="16.5">
      <c r="A31" s="947" t="s">
        <v>581</v>
      </c>
      <c r="B31" s="949"/>
      <c r="C31" s="949"/>
      <c r="D31" s="949"/>
      <c r="E31" s="949"/>
      <c r="F31" s="948"/>
    </row>
    <row r="32" spans="1:6" ht="16.5">
      <c r="A32" s="947" t="s">
        <v>582</v>
      </c>
      <c r="B32" s="949"/>
      <c r="C32" s="949"/>
      <c r="D32" s="949"/>
      <c r="E32" s="949"/>
      <c r="F32" s="948"/>
    </row>
    <row r="33" spans="1:6" ht="16.5">
      <c r="A33" s="947" t="s">
        <v>583</v>
      </c>
      <c r="B33" s="949"/>
      <c r="C33" s="949"/>
      <c r="D33" s="949"/>
      <c r="E33" s="949"/>
      <c r="F33" s="948"/>
    </row>
    <row r="34" spans="1:6" ht="16.5">
      <c r="A34" s="950" t="s">
        <v>584</v>
      </c>
      <c r="B34" s="949"/>
      <c r="C34" s="949"/>
      <c r="D34" s="949"/>
      <c r="E34" s="949"/>
      <c r="F34" s="948"/>
    </row>
    <row r="35" spans="1:6" ht="16.5">
      <c r="A35" s="947"/>
      <c r="B35" s="949"/>
      <c r="C35" s="949"/>
      <c r="D35" s="949"/>
      <c r="E35" s="949"/>
      <c r="F35" s="948"/>
    </row>
    <row r="36" spans="1:6" ht="16.5">
      <c r="A36" s="923" t="s">
        <v>585</v>
      </c>
      <c r="B36" s="924"/>
      <c r="C36" s="925"/>
      <c r="D36" s="95" t="s">
        <v>526</v>
      </c>
      <c r="E36" s="923" t="s">
        <v>586</v>
      </c>
      <c r="F36" s="925"/>
    </row>
    <row r="37" spans="1:6" ht="16.5">
      <c r="A37" s="895" t="s">
        <v>587</v>
      </c>
      <c r="B37" s="895"/>
      <c r="C37" s="895"/>
      <c r="D37" s="287">
        <v>12</v>
      </c>
      <c r="E37" s="947"/>
      <c r="F37" s="948"/>
    </row>
    <row r="38" spans="1:6" ht="16.5">
      <c r="A38" s="895" t="s">
        <v>588</v>
      </c>
      <c r="B38" s="895"/>
      <c r="C38" s="895"/>
      <c r="D38" s="287">
        <v>16</v>
      </c>
      <c r="E38" s="947"/>
      <c r="F38" s="948"/>
    </row>
    <row r="39" spans="1:6" ht="16.5">
      <c r="A39" s="895" t="s">
        <v>589</v>
      </c>
      <c r="B39" s="895"/>
      <c r="C39" s="895"/>
      <c r="D39" s="305">
        <v>1</v>
      </c>
      <c r="E39" s="947"/>
      <c r="F39" s="948"/>
    </row>
  </sheetData>
  <mergeCells count="25">
    <mergeCell ref="A28:F28"/>
    <mergeCell ref="A29:F29"/>
    <mergeCell ref="A30:F30"/>
    <mergeCell ref="A31:F31"/>
    <mergeCell ref="A32:F32"/>
    <mergeCell ref="A33:F33"/>
    <mergeCell ref="A34:F34"/>
    <mergeCell ref="A35:F35"/>
    <mergeCell ref="A36:C36"/>
    <mergeCell ref="E36:F36"/>
    <mergeCell ref="A37:C37"/>
    <mergeCell ref="E37:F37"/>
    <mergeCell ref="A38:C38"/>
    <mergeCell ref="E38:F38"/>
    <mergeCell ref="A39:C39"/>
    <mergeCell ref="E39:F39"/>
    <mergeCell ref="F1:F3"/>
    <mergeCell ref="F10:F11"/>
    <mergeCell ref="A1:B3"/>
    <mergeCell ref="C1:E3"/>
    <mergeCell ref="A10:A11"/>
    <mergeCell ref="B10:B11"/>
    <mergeCell ref="C10:C11"/>
    <mergeCell ref="D10:D11"/>
    <mergeCell ref="E10:E11"/>
  </mergeCells>
  <pageMargins left="0.98425196850393704" right="0.59055118110236204" top="0.78740157480314998" bottom="0.78740157480314998" header="0.31496062992126" footer="0.31496062992126"/>
  <pageSetup scale="66"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pageSetUpPr fitToPage="1"/>
  </sheetPr>
  <dimension ref="A1:N40"/>
  <sheetViews>
    <sheetView topLeftCell="A24" zoomScale="80" zoomScaleNormal="80" workbookViewId="0">
      <selection activeCell="C1" sqref="C1:L3"/>
    </sheetView>
  </sheetViews>
  <sheetFormatPr defaultColWidth="9.28515625" defaultRowHeight="14.25"/>
  <cols>
    <col min="1" max="1" width="9.7109375" style="18" customWidth="1"/>
    <col min="2" max="2" width="14.85546875" style="18" customWidth="1"/>
    <col min="3" max="3" width="14.42578125" style="18" customWidth="1"/>
    <col min="4" max="4" width="13" style="18" customWidth="1"/>
    <col min="5" max="5" width="11" style="18" customWidth="1"/>
    <col min="6" max="7" width="12.28515625" style="18" customWidth="1"/>
    <col min="8" max="8" width="8" style="18" customWidth="1"/>
    <col min="9" max="9" width="11.7109375" style="18" customWidth="1"/>
    <col min="10" max="11" width="17" style="18" customWidth="1"/>
    <col min="12" max="12" width="15.140625" style="18" customWidth="1"/>
    <col min="13" max="13" width="11.42578125" style="18" customWidth="1"/>
    <col min="14" max="14" width="13" style="18" customWidth="1"/>
    <col min="15" max="15" width="23.28515625" style="18" customWidth="1"/>
    <col min="16" max="16384" width="9.28515625" style="18"/>
  </cols>
  <sheetData>
    <row r="1" spans="1:14" ht="25.9" customHeight="1">
      <c r="A1" s="926"/>
      <c r="B1" s="926"/>
      <c r="C1" s="901" t="s">
        <v>1113</v>
      </c>
      <c r="D1" s="907"/>
      <c r="E1" s="907"/>
      <c r="F1" s="907"/>
      <c r="G1" s="907"/>
      <c r="H1" s="907"/>
      <c r="I1" s="907"/>
      <c r="J1" s="907"/>
      <c r="K1" s="907"/>
      <c r="L1" s="908"/>
      <c r="M1" s="901" t="s">
        <v>1112</v>
      </c>
      <c r="N1" s="902"/>
    </row>
    <row r="2" spans="1:14" ht="25.9" customHeight="1">
      <c r="A2" s="926"/>
      <c r="B2" s="926"/>
      <c r="C2" s="909"/>
      <c r="D2" s="910"/>
      <c r="E2" s="910"/>
      <c r="F2" s="910"/>
      <c r="G2" s="910"/>
      <c r="H2" s="910"/>
      <c r="I2" s="910"/>
      <c r="J2" s="910"/>
      <c r="K2" s="910"/>
      <c r="L2" s="911"/>
      <c r="M2" s="903"/>
      <c r="N2" s="904"/>
    </row>
    <row r="3" spans="1:14" ht="42.75" customHeight="1">
      <c r="A3" s="926"/>
      <c r="B3" s="926"/>
      <c r="C3" s="912"/>
      <c r="D3" s="913"/>
      <c r="E3" s="913"/>
      <c r="F3" s="913"/>
      <c r="G3" s="913"/>
      <c r="H3" s="913"/>
      <c r="I3" s="913"/>
      <c r="J3" s="913"/>
      <c r="K3" s="913"/>
      <c r="L3" s="914"/>
      <c r="M3" s="905"/>
      <c r="N3" s="906"/>
    </row>
    <row r="4" spans="1:14">
      <c r="A4" s="290"/>
      <c r="N4" s="291"/>
    </row>
    <row r="5" spans="1:14" ht="16.5">
      <c r="A5" s="292" t="s">
        <v>590</v>
      </c>
      <c r="B5" s="52"/>
      <c r="C5" s="52"/>
      <c r="D5" s="52"/>
      <c r="E5" s="52"/>
      <c r="F5" s="52"/>
      <c r="G5" s="52"/>
      <c r="H5" s="52"/>
      <c r="I5" s="52"/>
      <c r="J5" s="52"/>
      <c r="K5" s="52"/>
      <c r="L5" s="52"/>
      <c r="M5" s="52"/>
      <c r="N5" s="293"/>
    </row>
    <row r="6" spans="1:14" ht="19.5">
      <c r="A6" s="294" t="s">
        <v>491</v>
      </c>
      <c r="B6" s="52"/>
      <c r="C6" s="52"/>
      <c r="D6" s="52"/>
      <c r="E6" s="52"/>
      <c r="F6" s="52"/>
      <c r="G6" s="52"/>
      <c r="H6" s="52"/>
      <c r="I6" s="52"/>
      <c r="J6" s="52"/>
      <c r="K6" s="52"/>
      <c r="L6" s="52"/>
      <c r="M6" s="52"/>
      <c r="N6" s="293"/>
    </row>
    <row r="7" spans="1:14" ht="19.5">
      <c r="A7" s="294" t="s">
        <v>492</v>
      </c>
      <c r="B7" s="52"/>
      <c r="C7" s="52"/>
      <c r="D7" s="52"/>
      <c r="E7" s="52"/>
      <c r="F7" s="52"/>
      <c r="G7" s="52"/>
      <c r="H7" s="52"/>
      <c r="I7" s="52"/>
      <c r="J7" s="52"/>
      <c r="K7" s="52"/>
      <c r="L7" s="52"/>
      <c r="M7" s="52"/>
      <c r="N7" s="293"/>
    </row>
    <row r="8" spans="1:14" ht="16.5">
      <c r="A8" s="295" t="s">
        <v>493</v>
      </c>
      <c r="B8" s="52"/>
      <c r="C8" s="52"/>
      <c r="D8" s="52"/>
      <c r="E8" s="52"/>
      <c r="F8" s="52"/>
      <c r="G8" s="52"/>
      <c r="H8" s="52"/>
      <c r="I8" s="52"/>
      <c r="J8" s="52"/>
      <c r="K8" s="52"/>
      <c r="L8" s="52"/>
      <c r="M8" s="52"/>
      <c r="N8" s="293"/>
    </row>
    <row r="9" spans="1:14" ht="16.5">
      <c r="A9" s="329"/>
      <c r="B9" s="52"/>
      <c r="C9" s="52"/>
      <c r="D9" s="52"/>
      <c r="E9" s="52"/>
      <c r="F9" s="52"/>
      <c r="G9" s="52"/>
      <c r="H9" s="52"/>
      <c r="I9" s="52"/>
      <c r="J9" s="52"/>
      <c r="K9" s="52"/>
      <c r="L9" s="52"/>
      <c r="M9" s="52"/>
      <c r="N9" s="293"/>
    </row>
    <row r="10" spans="1:14" ht="60.6" customHeight="1">
      <c r="A10" s="863" t="s">
        <v>494</v>
      </c>
      <c r="B10" s="863" t="s">
        <v>591</v>
      </c>
      <c r="C10" s="863" t="s">
        <v>555</v>
      </c>
      <c r="D10" s="863" t="s">
        <v>556</v>
      </c>
      <c r="E10" s="863" t="s">
        <v>557</v>
      </c>
      <c r="F10" s="863" t="s">
        <v>499</v>
      </c>
      <c r="G10" s="863"/>
      <c r="H10" s="863"/>
      <c r="I10" s="863" t="s">
        <v>500</v>
      </c>
      <c r="J10" s="863"/>
      <c r="K10" s="863"/>
      <c r="L10" s="863" t="s">
        <v>503</v>
      </c>
      <c r="M10" s="863" t="s">
        <v>504</v>
      </c>
      <c r="N10" s="863" t="s">
        <v>505</v>
      </c>
    </row>
    <row r="11" spans="1:14" ht="67.5">
      <c r="A11" s="863"/>
      <c r="B11" s="863"/>
      <c r="C11" s="863"/>
      <c r="D11" s="863"/>
      <c r="E11" s="863"/>
      <c r="F11" s="28" t="s">
        <v>506</v>
      </c>
      <c r="G11" s="28" t="s">
        <v>507</v>
      </c>
      <c r="H11" s="28" t="s">
        <v>508</v>
      </c>
      <c r="I11" s="28" t="s">
        <v>509</v>
      </c>
      <c r="J11" s="28" t="s">
        <v>501</v>
      </c>
      <c r="K11" s="28" t="s">
        <v>502</v>
      </c>
      <c r="L11" s="863"/>
      <c r="M11" s="863"/>
      <c r="N11" s="863"/>
    </row>
    <row r="12" spans="1:14" ht="99">
      <c r="A12" s="567" t="s">
        <v>510</v>
      </c>
      <c r="B12" s="567" t="s">
        <v>511</v>
      </c>
      <c r="C12" s="567" t="s">
        <v>592</v>
      </c>
      <c r="D12" s="567" t="s">
        <v>513</v>
      </c>
      <c r="E12" s="30" t="s">
        <v>514</v>
      </c>
      <c r="F12" s="567" t="s">
        <v>515</v>
      </c>
      <c r="G12" s="567" t="s">
        <v>516</v>
      </c>
      <c r="H12" s="567" t="s">
        <v>517</v>
      </c>
      <c r="I12" s="30" t="s">
        <v>518</v>
      </c>
      <c r="J12" s="30" t="s">
        <v>519</v>
      </c>
      <c r="K12" s="30" t="s">
        <v>520</v>
      </c>
      <c r="L12" s="576" t="s">
        <v>521</v>
      </c>
      <c r="M12" s="576" t="s">
        <v>522</v>
      </c>
      <c r="N12" s="30" t="s">
        <v>523</v>
      </c>
    </row>
    <row r="13" spans="1:14" ht="18.600000000000001" customHeight="1">
      <c r="A13" s="30">
        <v>1</v>
      </c>
      <c r="B13" s="32">
        <v>10</v>
      </c>
      <c r="C13" s="30">
        <f>+B13*0.74/10^6</f>
        <v>7.4000000000000003E-6</v>
      </c>
      <c r="D13" s="174">
        <v>44.3</v>
      </c>
      <c r="E13" s="101">
        <f>+C13*D13</f>
        <v>3.2781999999999999E-4</v>
      </c>
      <c r="F13" s="100">
        <f>+$D$35</f>
        <v>69300</v>
      </c>
      <c r="G13" s="33">
        <f>+$D$36</f>
        <v>10</v>
      </c>
      <c r="H13" s="33">
        <f>+$D$37</f>
        <v>0.6</v>
      </c>
      <c r="I13" s="99">
        <f>+E13*F13</f>
        <v>22.717925999999999</v>
      </c>
      <c r="J13" s="99">
        <f>+E13*G13</f>
        <v>3.2781999999999998E-3</v>
      </c>
      <c r="K13" s="99">
        <f>+E13*H13</f>
        <v>1.9669199999999999E-4</v>
      </c>
      <c r="L13" s="30">
        <v>27.9</v>
      </c>
      <c r="M13" s="30">
        <v>273</v>
      </c>
      <c r="N13" s="101">
        <f>+(I13+J13*L13+K13*M13)/1000</f>
        <v>2.2863084695999999E-2</v>
      </c>
    </row>
    <row r="14" spans="1:14" ht="18.600000000000001" customHeight="1">
      <c r="A14" s="30">
        <v>2</v>
      </c>
      <c r="B14" s="32"/>
      <c r="C14" s="30">
        <f t="shared" ref="C14:C24" si="0">+B14*0.74/10^6</f>
        <v>0</v>
      </c>
      <c r="D14" s="174">
        <v>44.3</v>
      </c>
      <c r="E14" s="101">
        <f t="shared" ref="E14:E24" si="1">+C14*D14</f>
        <v>0</v>
      </c>
      <c r="F14" s="100">
        <f t="shared" ref="F14:F23" si="2">+$D$35</f>
        <v>69300</v>
      </c>
      <c r="G14" s="33">
        <f t="shared" ref="G14:G24" si="3">+$D$36</f>
        <v>10</v>
      </c>
      <c r="H14" s="33">
        <f t="shared" ref="H14:H24" si="4">+$D$37</f>
        <v>0.6</v>
      </c>
      <c r="I14" s="99">
        <f t="shared" ref="I14:I24" si="5">+E14*F14</f>
        <v>0</v>
      </c>
      <c r="J14" s="99">
        <f t="shared" ref="J14:J24" si="6">+E14*G14</f>
        <v>0</v>
      </c>
      <c r="K14" s="99">
        <f t="shared" ref="K14:K24" si="7">+E14*H14</f>
        <v>0</v>
      </c>
      <c r="L14" s="30">
        <v>27.9</v>
      </c>
      <c r="M14" s="30">
        <v>273</v>
      </c>
      <c r="N14" s="101">
        <f t="shared" ref="N14:N24" si="8">+(I14+J14*L14+K14*M14)/1000</f>
        <v>0</v>
      </c>
    </row>
    <row r="15" spans="1:14" ht="18.600000000000001" customHeight="1">
      <c r="A15" s="30">
        <v>3</v>
      </c>
      <c r="B15" s="32">
        <v>10</v>
      </c>
      <c r="C15" s="30">
        <f t="shared" si="0"/>
        <v>7.4000000000000003E-6</v>
      </c>
      <c r="D15" s="174">
        <v>44.3</v>
      </c>
      <c r="E15" s="101">
        <f t="shared" si="1"/>
        <v>3.2781999999999999E-4</v>
      </c>
      <c r="F15" s="100">
        <f t="shared" si="2"/>
        <v>69300</v>
      </c>
      <c r="G15" s="33">
        <f t="shared" si="3"/>
        <v>10</v>
      </c>
      <c r="H15" s="33">
        <f t="shared" si="4"/>
        <v>0.6</v>
      </c>
      <c r="I15" s="99">
        <f t="shared" si="5"/>
        <v>22.717925999999999</v>
      </c>
      <c r="J15" s="99">
        <f t="shared" si="6"/>
        <v>3.2781999999999998E-3</v>
      </c>
      <c r="K15" s="99">
        <f t="shared" si="7"/>
        <v>1.9669199999999999E-4</v>
      </c>
      <c r="L15" s="30">
        <v>27.9</v>
      </c>
      <c r="M15" s="30">
        <v>273</v>
      </c>
      <c r="N15" s="101">
        <f t="shared" si="8"/>
        <v>2.2863084695999999E-2</v>
      </c>
    </row>
    <row r="16" spans="1:14" ht="18.600000000000001" customHeight="1">
      <c r="A16" s="30">
        <v>4</v>
      </c>
      <c r="B16" s="32">
        <v>10</v>
      </c>
      <c r="C16" s="30">
        <f t="shared" si="0"/>
        <v>7.4000000000000003E-6</v>
      </c>
      <c r="D16" s="174">
        <v>44.3</v>
      </c>
      <c r="E16" s="101">
        <f t="shared" si="1"/>
        <v>3.2781999999999999E-4</v>
      </c>
      <c r="F16" s="100">
        <f t="shared" si="2"/>
        <v>69300</v>
      </c>
      <c r="G16" s="33">
        <f t="shared" si="3"/>
        <v>10</v>
      </c>
      <c r="H16" s="33">
        <f t="shared" si="4"/>
        <v>0.6</v>
      </c>
      <c r="I16" s="99">
        <f t="shared" si="5"/>
        <v>22.717925999999999</v>
      </c>
      <c r="J16" s="99">
        <f t="shared" si="6"/>
        <v>3.2781999999999998E-3</v>
      </c>
      <c r="K16" s="99">
        <f t="shared" si="7"/>
        <v>1.9669199999999999E-4</v>
      </c>
      <c r="L16" s="30">
        <v>27.9</v>
      </c>
      <c r="M16" s="30">
        <v>273</v>
      </c>
      <c r="N16" s="101">
        <f t="shared" si="8"/>
        <v>2.2863084695999999E-2</v>
      </c>
    </row>
    <row r="17" spans="1:14" ht="18.600000000000001" customHeight="1">
      <c r="A17" s="30">
        <v>5</v>
      </c>
      <c r="B17" s="32"/>
      <c r="C17" s="30">
        <f t="shared" si="0"/>
        <v>0</v>
      </c>
      <c r="D17" s="174">
        <v>44.3</v>
      </c>
      <c r="E17" s="101">
        <f t="shared" si="1"/>
        <v>0</v>
      </c>
      <c r="F17" s="100">
        <f t="shared" si="2"/>
        <v>69300</v>
      </c>
      <c r="G17" s="33">
        <f t="shared" si="3"/>
        <v>10</v>
      </c>
      <c r="H17" s="33">
        <f t="shared" si="4"/>
        <v>0.6</v>
      </c>
      <c r="I17" s="99">
        <f t="shared" si="5"/>
        <v>0</v>
      </c>
      <c r="J17" s="99">
        <f t="shared" si="6"/>
        <v>0</v>
      </c>
      <c r="K17" s="99">
        <f t="shared" si="7"/>
        <v>0</v>
      </c>
      <c r="L17" s="30">
        <v>27.9</v>
      </c>
      <c r="M17" s="30">
        <v>273</v>
      </c>
      <c r="N17" s="101">
        <f t="shared" si="8"/>
        <v>0</v>
      </c>
    </row>
    <row r="18" spans="1:14" ht="18.600000000000001" customHeight="1">
      <c r="A18" s="30">
        <v>6</v>
      </c>
      <c r="B18" s="32">
        <v>10</v>
      </c>
      <c r="C18" s="30">
        <f t="shared" si="0"/>
        <v>7.4000000000000003E-6</v>
      </c>
      <c r="D18" s="174">
        <v>44.3</v>
      </c>
      <c r="E18" s="101">
        <f t="shared" si="1"/>
        <v>3.2781999999999999E-4</v>
      </c>
      <c r="F18" s="100">
        <f t="shared" si="2"/>
        <v>69300</v>
      </c>
      <c r="G18" s="33">
        <f t="shared" si="3"/>
        <v>10</v>
      </c>
      <c r="H18" s="33">
        <f t="shared" si="4"/>
        <v>0.6</v>
      </c>
      <c r="I18" s="99">
        <f t="shared" si="5"/>
        <v>22.717925999999999</v>
      </c>
      <c r="J18" s="99">
        <f t="shared" si="6"/>
        <v>3.2781999999999998E-3</v>
      </c>
      <c r="K18" s="99">
        <f t="shared" si="7"/>
        <v>1.9669199999999999E-4</v>
      </c>
      <c r="L18" s="30">
        <v>27.9</v>
      </c>
      <c r="M18" s="30">
        <v>273</v>
      </c>
      <c r="N18" s="101">
        <f t="shared" si="8"/>
        <v>2.2863084695999999E-2</v>
      </c>
    </row>
    <row r="19" spans="1:14" ht="18.600000000000001" customHeight="1">
      <c r="A19" s="30">
        <v>7</v>
      </c>
      <c r="B19" s="32">
        <v>22</v>
      </c>
      <c r="C19" s="30">
        <f t="shared" si="0"/>
        <v>1.628E-5</v>
      </c>
      <c r="D19" s="174">
        <v>44.3</v>
      </c>
      <c r="E19" s="101">
        <f t="shared" si="1"/>
        <v>7.2120399999999992E-4</v>
      </c>
      <c r="F19" s="100">
        <f t="shared" si="2"/>
        <v>69300</v>
      </c>
      <c r="G19" s="33">
        <f t="shared" si="3"/>
        <v>10</v>
      </c>
      <c r="H19" s="33">
        <f t="shared" si="4"/>
        <v>0.6</v>
      </c>
      <c r="I19" s="99">
        <f t="shared" si="5"/>
        <v>49.979437199999992</v>
      </c>
      <c r="J19" s="99">
        <f t="shared" si="6"/>
        <v>7.2120399999999994E-3</v>
      </c>
      <c r="K19" s="99">
        <f t="shared" si="7"/>
        <v>4.3272239999999994E-4</v>
      </c>
      <c r="L19" s="30">
        <v>27.9</v>
      </c>
      <c r="M19" s="30">
        <v>273</v>
      </c>
      <c r="N19" s="101">
        <f t="shared" si="8"/>
        <v>5.0298786331199989E-2</v>
      </c>
    </row>
    <row r="20" spans="1:14" ht="18.600000000000001" customHeight="1">
      <c r="A20" s="30">
        <v>8</v>
      </c>
      <c r="B20" s="32">
        <v>20</v>
      </c>
      <c r="C20" s="30">
        <f t="shared" si="0"/>
        <v>1.4800000000000001E-5</v>
      </c>
      <c r="D20" s="174">
        <v>44.3</v>
      </c>
      <c r="E20" s="101">
        <f t="shared" si="1"/>
        <v>6.5563999999999998E-4</v>
      </c>
      <c r="F20" s="100">
        <f t="shared" si="2"/>
        <v>69300</v>
      </c>
      <c r="G20" s="33">
        <f t="shared" si="3"/>
        <v>10</v>
      </c>
      <c r="H20" s="33">
        <f t="shared" si="4"/>
        <v>0.6</v>
      </c>
      <c r="I20" s="99">
        <f t="shared" si="5"/>
        <v>45.435851999999997</v>
      </c>
      <c r="J20" s="99">
        <f t="shared" si="6"/>
        <v>6.5563999999999996E-3</v>
      </c>
      <c r="K20" s="99">
        <f t="shared" si="7"/>
        <v>3.9338399999999999E-4</v>
      </c>
      <c r="L20" s="30">
        <v>27.9</v>
      </c>
      <c r="M20" s="30">
        <v>273</v>
      </c>
      <c r="N20" s="101">
        <f t="shared" si="8"/>
        <v>4.5726169391999999E-2</v>
      </c>
    </row>
    <row r="21" spans="1:14" ht="18.600000000000001" customHeight="1">
      <c r="A21" s="30">
        <v>9</v>
      </c>
      <c r="B21" s="32">
        <v>20</v>
      </c>
      <c r="C21" s="30">
        <f t="shared" si="0"/>
        <v>1.4800000000000001E-5</v>
      </c>
      <c r="D21" s="174">
        <v>44.3</v>
      </c>
      <c r="E21" s="101">
        <f t="shared" si="1"/>
        <v>6.5563999999999998E-4</v>
      </c>
      <c r="F21" s="100">
        <f t="shared" si="2"/>
        <v>69300</v>
      </c>
      <c r="G21" s="33">
        <f t="shared" si="3"/>
        <v>10</v>
      </c>
      <c r="H21" s="33">
        <f t="shared" si="4"/>
        <v>0.6</v>
      </c>
      <c r="I21" s="99">
        <f t="shared" si="5"/>
        <v>45.435851999999997</v>
      </c>
      <c r="J21" s="99">
        <f t="shared" si="6"/>
        <v>6.5563999999999996E-3</v>
      </c>
      <c r="K21" s="99">
        <f t="shared" si="7"/>
        <v>3.9338399999999999E-4</v>
      </c>
      <c r="L21" s="30">
        <v>27.9</v>
      </c>
      <c r="M21" s="30">
        <v>273</v>
      </c>
      <c r="N21" s="101">
        <f t="shared" si="8"/>
        <v>4.5726169391999999E-2</v>
      </c>
    </row>
    <row r="22" spans="1:14" ht="18.600000000000001" customHeight="1">
      <c r="A22" s="30">
        <v>10</v>
      </c>
      <c r="B22" s="32">
        <v>10</v>
      </c>
      <c r="C22" s="30">
        <f t="shared" si="0"/>
        <v>7.4000000000000003E-6</v>
      </c>
      <c r="D22" s="174">
        <v>44.3</v>
      </c>
      <c r="E22" s="101">
        <f t="shared" si="1"/>
        <v>3.2781999999999999E-4</v>
      </c>
      <c r="F22" s="100">
        <f t="shared" si="2"/>
        <v>69300</v>
      </c>
      <c r="G22" s="33">
        <f t="shared" si="3"/>
        <v>10</v>
      </c>
      <c r="H22" s="33">
        <f t="shared" si="4"/>
        <v>0.6</v>
      </c>
      <c r="I22" s="99">
        <f t="shared" si="5"/>
        <v>22.717925999999999</v>
      </c>
      <c r="J22" s="99">
        <f t="shared" si="6"/>
        <v>3.2781999999999998E-3</v>
      </c>
      <c r="K22" s="99">
        <f t="shared" si="7"/>
        <v>1.9669199999999999E-4</v>
      </c>
      <c r="L22" s="30">
        <v>27.9</v>
      </c>
      <c r="M22" s="30">
        <v>273</v>
      </c>
      <c r="N22" s="101">
        <f t="shared" si="8"/>
        <v>2.2863084695999999E-2</v>
      </c>
    </row>
    <row r="23" spans="1:14" ht="18.600000000000001" customHeight="1">
      <c r="A23" s="30">
        <v>11</v>
      </c>
      <c r="B23" s="32">
        <v>20</v>
      </c>
      <c r="C23" s="30">
        <f t="shared" si="0"/>
        <v>1.4800000000000001E-5</v>
      </c>
      <c r="D23" s="174">
        <v>44.3</v>
      </c>
      <c r="E23" s="101">
        <f t="shared" si="1"/>
        <v>6.5563999999999998E-4</v>
      </c>
      <c r="F23" s="100">
        <f t="shared" si="2"/>
        <v>69300</v>
      </c>
      <c r="G23" s="33">
        <f t="shared" si="3"/>
        <v>10</v>
      </c>
      <c r="H23" s="33">
        <f t="shared" si="4"/>
        <v>0.6</v>
      </c>
      <c r="I23" s="99">
        <f t="shared" si="5"/>
        <v>45.435851999999997</v>
      </c>
      <c r="J23" s="99">
        <f t="shared" si="6"/>
        <v>6.5563999999999996E-3</v>
      </c>
      <c r="K23" s="99">
        <f t="shared" si="7"/>
        <v>3.9338399999999999E-4</v>
      </c>
      <c r="L23" s="30">
        <v>27.9</v>
      </c>
      <c r="M23" s="30">
        <v>273</v>
      </c>
      <c r="N23" s="101">
        <f t="shared" si="8"/>
        <v>4.5726169391999999E-2</v>
      </c>
    </row>
    <row r="24" spans="1:14" ht="16.5">
      <c r="A24" s="30">
        <v>12</v>
      </c>
      <c r="B24" s="32">
        <v>20</v>
      </c>
      <c r="C24" s="30">
        <f t="shared" si="0"/>
        <v>1.4800000000000001E-5</v>
      </c>
      <c r="D24" s="174">
        <v>44.3</v>
      </c>
      <c r="E24" s="101">
        <f t="shared" si="1"/>
        <v>6.5563999999999998E-4</v>
      </c>
      <c r="F24" s="100">
        <v>69300</v>
      </c>
      <c r="G24" s="33">
        <f t="shared" si="3"/>
        <v>10</v>
      </c>
      <c r="H24" s="33">
        <f t="shared" si="4"/>
        <v>0.6</v>
      </c>
      <c r="I24" s="99">
        <f t="shared" si="5"/>
        <v>45.435851999999997</v>
      </c>
      <c r="J24" s="99">
        <f t="shared" si="6"/>
        <v>6.5563999999999996E-3</v>
      </c>
      <c r="K24" s="99">
        <f t="shared" si="7"/>
        <v>3.9338399999999999E-4</v>
      </c>
      <c r="L24" s="30">
        <v>27.9</v>
      </c>
      <c r="M24" s="30">
        <v>273</v>
      </c>
      <c r="N24" s="101">
        <f t="shared" si="8"/>
        <v>4.5726169391999999E-2</v>
      </c>
    </row>
    <row r="25" spans="1:14" ht="22.9" customHeight="1">
      <c r="A25" s="102" t="s">
        <v>469</v>
      </c>
      <c r="B25" s="103">
        <f>SUM(B13:B24)</f>
        <v>152</v>
      </c>
      <c r="C25" s="103"/>
      <c r="D25" s="103"/>
      <c r="E25" s="103"/>
      <c r="F25" s="105"/>
      <c r="G25" s="103"/>
      <c r="H25" s="103"/>
      <c r="I25" s="106">
        <f>SUM(I13:I24)</f>
        <v>345.31247519999999</v>
      </c>
      <c r="J25" s="106">
        <f>SUM(J13:J24)</f>
        <v>4.9828639999999993E-2</v>
      </c>
      <c r="K25" s="106">
        <f>SUM(K13:K24)</f>
        <v>2.9897184000000003E-3</v>
      </c>
      <c r="L25" s="107"/>
      <c r="M25" s="107"/>
      <c r="N25" s="106">
        <f>SUM(N13:N24)</f>
        <v>0.3475188873792</v>
      </c>
    </row>
    <row r="26" spans="1:14" ht="16.5" hidden="1">
      <c r="A26" s="23"/>
      <c r="B26" s="23"/>
      <c r="C26" s="23"/>
      <c r="D26" s="23"/>
      <c r="E26" s="23"/>
      <c r="F26" s="23"/>
      <c r="G26" s="23"/>
      <c r="H26" s="23"/>
      <c r="I26" s="270">
        <f>+I25/1000</f>
        <v>0.34531247519999997</v>
      </c>
      <c r="J26" s="271">
        <f>+J25*L24/1000</f>
        <v>1.3902190559999998E-3</v>
      </c>
      <c r="K26" s="270">
        <f>+K25*M24/1000</f>
        <v>8.161931232E-4</v>
      </c>
      <c r="L26" s="23"/>
      <c r="M26" s="23"/>
      <c r="N26" s="23"/>
    </row>
    <row r="27" spans="1:14" ht="16.5">
      <c r="A27" s="52"/>
      <c r="B27" s="52"/>
      <c r="C27" s="52"/>
      <c r="D27" s="52"/>
      <c r="E27" s="52"/>
      <c r="F27" s="52"/>
      <c r="G27" s="52"/>
      <c r="H27" s="52"/>
      <c r="I27" s="52"/>
      <c r="J27" s="52"/>
      <c r="K27" s="52"/>
      <c r="L27" s="52"/>
      <c r="M27" s="52"/>
      <c r="N27" s="52"/>
    </row>
    <row r="28" spans="1:14" ht="16.5">
      <c r="A28" s="957" t="s">
        <v>524</v>
      </c>
      <c r="B28" s="957"/>
      <c r="C28" s="957"/>
      <c r="D28" s="957"/>
      <c r="E28" s="957"/>
      <c r="F28" s="957"/>
      <c r="G28" s="957"/>
      <c r="H28" s="957"/>
      <c r="I28" s="957"/>
      <c r="J28" s="957"/>
      <c r="K28" s="957"/>
      <c r="L28" s="957"/>
      <c r="M28" s="957"/>
      <c r="N28" s="957"/>
    </row>
    <row r="29" spans="1:14" ht="16.5">
      <c r="A29" s="23"/>
      <c r="B29" s="23"/>
      <c r="C29" s="23"/>
      <c r="D29" s="23"/>
      <c r="E29" s="23"/>
      <c r="F29" s="23"/>
      <c r="G29" s="23"/>
      <c r="H29" s="23"/>
      <c r="I29" s="23"/>
      <c r="J29" s="23"/>
      <c r="K29" s="23"/>
      <c r="L29" s="23"/>
      <c r="M29" s="23"/>
      <c r="N29" s="23"/>
    </row>
    <row r="30" spans="1:14" ht="19.149999999999999" customHeight="1">
      <c r="A30" s="899" t="s">
        <v>525</v>
      </c>
      <c r="B30" s="899"/>
      <c r="C30" s="899"/>
      <c r="D30" s="899" t="s">
        <v>526</v>
      </c>
      <c r="E30" s="899"/>
      <c r="F30" s="46" t="s">
        <v>527</v>
      </c>
      <c r="G30" s="899" t="s">
        <v>528</v>
      </c>
      <c r="H30" s="899"/>
      <c r="I30" s="899"/>
      <c r="J30" s="899"/>
      <c r="K30" s="899"/>
      <c r="L30" s="899"/>
      <c r="M30" s="899"/>
      <c r="N30" s="899"/>
    </row>
    <row r="31" spans="1:14" ht="23.45" customHeight="1">
      <c r="A31" s="671" t="s">
        <v>529</v>
      </c>
      <c r="B31" s="671"/>
      <c r="C31" s="671"/>
      <c r="D31" s="895" t="s">
        <v>530</v>
      </c>
      <c r="E31" s="895"/>
      <c r="F31" s="177" t="s">
        <v>531</v>
      </c>
      <c r="G31" s="895" t="s">
        <v>532</v>
      </c>
      <c r="H31" s="895"/>
      <c r="I31" s="895"/>
      <c r="J31" s="895"/>
      <c r="K31" s="895"/>
      <c r="L31" s="895"/>
      <c r="M31" s="895"/>
      <c r="N31" s="895"/>
    </row>
    <row r="32" spans="1:14" ht="42" customHeight="1">
      <c r="A32" s="954" t="s">
        <v>593</v>
      </c>
      <c r="B32" s="954"/>
      <c r="C32" s="954"/>
      <c r="D32" s="955">
        <v>0.74</v>
      </c>
      <c r="E32" s="956"/>
      <c r="F32" s="177" t="s">
        <v>534</v>
      </c>
      <c r="G32" s="895" t="s">
        <v>594</v>
      </c>
      <c r="H32" s="895"/>
      <c r="I32" s="895"/>
      <c r="J32" s="895"/>
      <c r="K32" s="895"/>
      <c r="L32" s="895"/>
      <c r="M32" s="895"/>
      <c r="N32" s="895"/>
    </row>
    <row r="33" spans="1:14" ht="43.15" customHeight="1">
      <c r="A33" s="899" t="s">
        <v>595</v>
      </c>
      <c r="B33" s="899"/>
      <c r="C33" s="899"/>
      <c r="D33" s="899" t="s">
        <v>526</v>
      </c>
      <c r="E33" s="899"/>
      <c r="F33" s="46" t="s">
        <v>527</v>
      </c>
      <c r="G33" s="899" t="s">
        <v>528</v>
      </c>
      <c r="H33" s="899"/>
      <c r="I33" s="899"/>
      <c r="J33" s="899"/>
      <c r="K33" s="899"/>
      <c r="L33" s="863" t="s">
        <v>537</v>
      </c>
      <c r="M33" s="863"/>
      <c r="N33" s="863"/>
    </row>
    <row r="34" spans="1:14" ht="23.45" customHeight="1">
      <c r="A34" s="895" t="s">
        <v>596</v>
      </c>
      <c r="B34" s="895"/>
      <c r="C34" s="895"/>
      <c r="D34" s="897">
        <v>44.3</v>
      </c>
      <c r="E34" s="897"/>
      <c r="F34" s="177" t="s">
        <v>539</v>
      </c>
      <c r="G34" s="895" t="s">
        <v>540</v>
      </c>
      <c r="H34" s="895"/>
      <c r="I34" s="895"/>
      <c r="J34" s="895"/>
      <c r="K34" s="895"/>
      <c r="L34" s="731"/>
      <c r="M34" s="731"/>
      <c r="N34" s="731"/>
    </row>
    <row r="35" spans="1:14" ht="23.45" customHeight="1">
      <c r="A35" s="895" t="s">
        <v>541</v>
      </c>
      <c r="B35" s="895"/>
      <c r="C35" s="895"/>
      <c r="D35" s="898">
        <v>69300</v>
      </c>
      <c r="E35" s="898"/>
      <c r="F35" s="177" t="s">
        <v>542</v>
      </c>
      <c r="G35" s="915" t="s">
        <v>597</v>
      </c>
      <c r="H35" s="916"/>
      <c r="I35" s="916"/>
      <c r="J35" s="916"/>
      <c r="K35" s="917"/>
      <c r="L35" s="731" t="s">
        <v>544</v>
      </c>
      <c r="M35" s="731"/>
      <c r="N35" s="731"/>
    </row>
    <row r="36" spans="1:14" ht="23.45" customHeight="1">
      <c r="A36" s="895" t="s">
        <v>545</v>
      </c>
      <c r="B36" s="895"/>
      <c r="C36" s="895"/>
      <c r="D36" s="896">
        <v>10</v>
      </c>
      <c r="E36" s="896"/>
      <c r="F36" s="177" t="s">
        <v>542</v>
      </c>
      <c r="G36" s="915" t="s">
        <v>598</v>
      </c>
      <c r="H36" s="916"/>
      <c r="I36" s="916"/>
      <c r="J36" s="916"/>
      <c r="K36" s="917"/>
      <c r="L36" s="731" t="s">
        <v>544</v>
      </c>
      <c r="M36" s="731"/>
      <c r="N36" s="731"/>
    </row>
    <row r="37" spans="1:14" ht="23.45" customHeight="1">
      <c r="A37" s="895" t="s">
        <v>547</v>
      </c>
      <c r="B37" s="895"/>
      <c r="C37" s="895"/>
      <c r="D37" s="896">
        <v>0.6</v>
      </c>
      <c r="E37" s="896"/>
      <c r="F37" s="177" t="s">
        <v>542</v>
      </c>
      <c r="G37" s="915" t="s">
        <v>599</v>
      </c>
      <c r="H37" s="916"/>
      <c r="I37" s="916"/>
      <c r="J37" s="916"/>
      <c r="K37" s="917"/>
      <c r="L37" s="731" t="s">
        <v>544</v>
      </c>
      <c r="M37" s="731"/>
      <c r="N37" s="731"/>
    </row>
    <row r="38" spans="1:14" ht="23.45" customHeight="1">
      <c r="A38" s="895" t="s">
        <v>549</v>
      </c>
      <c r="B38" s="895"/>
      <c r="C38" s="895"/>
      <c r="D38" s="896">
        <v>27.9</v>
      </c>
      <c r="E38" s="896"/>
      <c r="F38" s="177"/>
      <c r="G38" s="895" t="s">
        <v>550</v>
      </c>
      <c r="H38" s="895"/>
      <c r="I38" s="895"/>
      <c r="J38" s="895"/>
      <c r="K38" s="895"/>
      <c r="L38" s="731"/>
      <c r="M38" s="731"/>
      <c r="N38" s="731"/>
    </row>
    <row r="39" spans="1:14" ht="23.45" customHeight="1">
      <c r="A39" s="895" t="s">
        <v>551</v>
      </c>
      <c r="B39" s="895"/>
      <c r="C39" s="895"/>
      <c r="D39" s="896">
        <v>273</v>
      </c>
      <c r="E39" s="896"/>
      <c r="F39" s="177"/>
      <c r="G39" s="895" t="s">
        <v>550</v>
      </c>
      <c r="H39" s="895"/>
      <c r="I39" s="895"/>
      <c r="J39" s="895"/>
      <c r="K39" s="895"/>
      <c r="L39" s="731"/>
      <c r="M39" s="731"/>
      <c r="N39" s="731"/>
    </row>
    <row r="40" spans="1:14">
      <c r="A40" s="208"/>
      <c r="B40" s="208"/>
      <c r="C40" s="208"/>
      <c r="D40" s="208"/>
      <c r="E40" s="208"/>
      <c r="F40" s="208"/>
      <c r="G40" s="208"/>
      <c r="H40" s="208"/>
      <c r="I40" s="208"/>
      <c r="J40" s="208"/>
      <c r="K40" s="208"/>
      <c r="L40" s="208"/>
      <c r="M40" s="208"/>
      <c r="N40" s="208"/>
    </row>
  </sheetData>
  <mergeCells count="51">
    <mergeCell ref="F10:H10"/>
    <mergeCell ref="I10:K10"/>
    <mergeCell ref="A28:N28"/>
    <mergeCell ref="A30:C30"/>
    <mergeCell ref="D30:E30"/>
    <mergeCell ref="G30:N30"/>
    <mergeCell ref="A31:C31"/>
    <mergeCell ref="D31:E31"/>
    <mergeCell ref="G31:N31"/>
    <mergeCell ref="A32:C32"/>
    <mergeCell ref="D32:E32"/>
    <mergeCell ref="G32:N32"/>
    <mergeCell ref="A33:C33"/>
    <mergeCell ref="D33:E33"/>
    <mergeCell ref="G33:K33"/>
    <mergeCell ref="L33:N33"/>
    <mergeCell ref="A34:C34"/>
    <mergeCell ref="D34:E34"/>
    <mergeCell ref="G34:K34"/>
    <mergeCell ref="L34:N34"/>
    <mergeCell ref="A35:C35"/>
    <mergeCell ref="D35:E35"/>
    <mergeCell ref="G35:K35"/>
    <mergeCell ref="L35:N35"/>
    <mergeCell ref="A36:C36"/>
    <mergeCell ref="D36:E36"/>
    <mergeCell ref="G36:K36"/>
    <mergeCell ref="L36:N36"/>
    <mergeCell ref="D37:E37"/>
    <mergeCell ref="G37:K37"/>
    <mergeCell ref="L37:N37"/>
    <mergeCell ref="A38:C38"/>
    <mergeCell ref="D38:E38"/>
    <mergeCell ref="G38:K38"/>
    <mergeCell ref="L38:N38"/>
    <mergeCell ref="A1:B3"/>
    <mergeCell ref="M1:N3"/>
    <mergeCell ref="C1:L3"/>
    <mergeCell ref="A39:C39"/>
    <mergeCell ref="D39:E39"/>
    <mergeCell ref="G39:K39"/>
    <mergeCell ref="L39:N39"/>
    <mergeCell ref="A10:A11"/>
    <mergeCell ref="B10:B11"/>
    <mergeCell ref="C10:C11"/>
    <mergeCell ref="D10:D11"/>
    <mergeCell ref="E10:E11"/>
    <mergeCell ref="L10:L11"/>
    <mergeCell ref="M10:M11"/>
    <mergeCell ref="N10:N11"/>
    <mergeCell ref="A37:C37"/>
  </mergeCells>
  <pageMargins left="0.98425196850393704" right="0.59055118110236204" top="0.78740157480314998" bottom="0.78740157480314998" header="0.31496062992126" footer="0.31496062992126"/>
  <pageSetup scale="51"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pageSetUpPr fitToPage="1"/>
  </sheetPr>
  <dimension ref="A1:O39"/>
  <sheetViews>
    <sheetView topLeftCell="B12" zoomScaleNormal="100" workbookViewId="0">
      <selection activeCell="N1" sqref="N1:O3"/>
    </sheetView>
  </sheetViews>
  <sheetFormatPr defaultColWidth="9.28515625" defaultRowHeight="15"/>
  <cols>
    <col min="1" max="1" width="9.7109375" style="90" customWidth="1"/>
    <col min="2" max="2" width="14" style="90" customWidth="1"/>
    <col min="3" max="3" width="9.28515625" style="90" customWidth="1"/>
    <col min="4" max="4" width="11.85546875" style="90" customWidth="1"/>
    <col min="5" max="5" width="13" style="90" customWidth="1"/>
    <col min="6" max="6" width="11" style="90" customWidth="1"/>
    <col min="7" max="8" width="12.28515625" style="90" customWidth="1"/>
    <col min="9" max="9" width="8" style="90" customWidth="1"/>
    <col min="10" max="10" width="14.42578125" style="90" customWidth="1"/>
    <col min="11" max="12" width="17" style="90" customWidth="1"/>
    <col min="13" max="13" width="11.140625" style="90" customWidth="1"/>
    <col min="14" max="14" width="11.42578125" style="90" customWidth="1"/>
    <col min="15" max="15" width="18" style="90" customWidth="1"/>
    <col min="16" max="16" width="23.28515625" style="90" customWidth="1"/>
    <col min="17" max="16384" width="9.28515625" style="90"/>
  </cols>
  <sheetData>
    <row r="1" spans="1:15" ht="25.9" customHeight="1">
      <c r="A1" s="938"/>
      <c r="B1" s="958"/>
      <c r="C1" s="939"/>
      <c r="D1" s="901" t="s">
        <v>600</v>
      </c>
      <c r="E1" s="907"/>
      <c r="F1" s="907"/>
      <c r="G1" s="907"/>
      <c r="H1" s="907"/>
      <c r="I1" s="907"/>
      <c r="J1" s="907"/>
      <c r="K1" s="907"/>
      <c r="L1" s="907"/>
      <c r="M1" s="908"/>
      <c r="N1" s="901" t="s">
        <v>1114</v>
      </c>
      <c r="O1" s="902"/>
    </row>
    <row r="2" spans="1:15" ht="25.9" customHeight="1">
      <c r="A2" s="940"/>
      <c r="B2" s="959"/>
      <c r="C2" s="941"/>
      <c r="D2" s="909"/>
      <c r="E2" s="910"/>
      <c r="F2" s="910"/>
      <c r="G2" s="910"/>
      <c r="H2" s="910"/>
      <c r="I2" s="910"/>
      <c r="J2" s="910"/>
      <c r="K2" s="910"/>
      <c r="L2" s="910"/>
      <c r="M2" s="911"/>
      <c r="N2" s="903"/>
      <c r="O2" s="904"/>
    </row>
    <row r="3" spans="1:15" ht="25.9" customHeight="1">
      <c r="A3" s="942"/>
      <c r="B3" s="960"/>
      <c r="C3" s="943"/>
      <c r="D3" s="912"/>
      <c r="E3" s="913"/>
      <c r="F3" s="913"/>
      <c r="G3" s="913"/>
      <c r="H3" s="913"/>
      <c r="I3" s="913"/>
      <c r="J3" s="913"/>
      <c r="K3" s="913"/>
      <c r="L3" s="913"/>
      <c r="M3" s="914"/>
      <c r="N3" s="905"/>
      <c r="O3" s="906"/>
    </row>
    <row r="4" spans="1:15">
      <c r="A4" s="333"/>
      <c r="O4" s="335"/>
    </row>
    <row r="5" spans="1:15" ht="16.5">
      <c r="A5" s="292" t="s">
        <v>601</v>
      </c>
      <c r="B5" s="52"/>
      <c r="C5" s="52"/>
      <c r="D5" s="52"/>
      <c r="E5" s="52"/>
      <c r="F5" s="52"/>
      <c r="G5" s="52"/>
      <c r="H5" s="52"/>
      <c r="I5" s="52"/>
      <c r="J5" s="52"/>
      <c r="K5" s="52"/>
      <c r="L5" s="52"/>
      <c r="M5" s="52"/>
      <c r="N5" s="52"/>
      <c r="O5" s="293"/>
    </row>
    <row r="6" spans="1:15" ht="19.5">
      <c r="A6" s="294" t="s">
        <v>491</v>
      </c>
      <c r="B6" s="52"/>
      <c r="C6" s="52"/>
      <c r="D6" s="52"/>
      <c r="E6" s="52"/>
      <c r="F6" s="52"/>
      <c r="G6" s="52"/>
      <c r="H6" s="52"/>
      <c r="I6" s="52"/>
      <c r="J6" s="52"/>
      <c r="K6" s="52"/>
      <c r="L6" s="52"/>
      <c r="M6" s="52"/>
      <c r="N6" s="52"/>
      <c r="O6" s="293"/>
    </row>
    <row r="7" spans="1:15" ht="19.5">
      <c r="A7" s="294" t="s">
        <v>492</v>
      </c>
      <c r="B7" s="52"/>
      <c r="C7" s="52"/>
      <c r="D7" s="52"/>
      <c r="E7" s="52"/>
      <c r="F7" s="52"/>
      <c r="G7" s="52"/>
      <c r="H7" s="52"/>
      <c r="I7" s="52"/>
      <c r="J7" s="52"/>
      <c r="K7" s="52"/>
      <c r="L7" s="52"/>
      <c r="M7" s="52"/>
      <c r="N7" s="52"/>
      <c r="O7" s="293"/>
    </row>
    <row r="8" spans="1:15" ht="16.5">
      <c r="A8" s="295" t="s">
        <v>493</v>
      </c>
      <c r="B8" s="52"/>
      <c r="C8" s="52"/>
      <c r="D8" s="52"/>
      <c r="E8" s="52"/>
      <c r="F8" s="52"/>
      <c r="G8" s="52"/>
      <c r="H8" s="52"/>
      <c r="I8" s="52"/>
      <c r="J8" s="52"/>
      <c r="K8" s="52"/>
      <c r="L8" s="52"/>
      <c r="M8" s="52"/>
      <c r="N8" s="52"/>
      <c r="O8" s="293"/>
    </row>
    <row r="9" spans="1:15" ht="16.5">
      <c r="A9" s="296"/>
      <c r="B9" s="297"/>
      <c r="C9" s="297"/>
      <c r="D9" s="297"/>
      <c r="E9" s="297"/>
      <c r="F9" s="297"/>
      <c r="G9" s="297"/>
      <c r="H9" s="297"/>
      <c r="I9" s="297"/>
      <c r="J9" s="297"/>
      <c r="K9" s="297"/>
      <c r="L9" s="297"/>
      <c r="M9" s="297"/>
      <c r="N9" s="297"/>
      <c r="O9" s="298"/>
    </row>
    <row r="10" spans="1:15" ht="60.6" customHeight="1">
      <c r="A10" s="863" t="s">
        <v>494</v>
      </c>
      <c r="B10" s="863" t="s">
        <v>591</v>
      </c>
      <c r="C10" s="675" t="s">
        <v>602</v>
      </c>
      <c r="D10" s="863" t="s">
        <v>555</v>
      </c>
      <c r="E10" s="863" t="s">
        <v>556</v>
      </c>
      <c r="F10" s="863" t="s">
        <v>557</v>
      </c>
      <c r="G10" s="863" t="s">
        <v>499</v>
      </c>
      <c r="H10" s="863"/>
      <c r="I10" s="863"/>
      <c r="J10" s="863" t="s">
        <v>500</v>
      </c>
      <c r="K10" s="863"/>
      <c r="L10" s="863"/>
      <c r="M10" s="863" t="s">
        <v>503</v>
      </c>
      <c r="N10" s="863" t="s">
        <v>504</v>
      </c>
      <c r="O10" s="863" t="s">
        <v>505</v>
      </c>
    </row>
    <row r="11" spans="1:15" ht="51">
      <c r="A11" s="863"/>
      <c r="B11" s="863"/>
      <c r="C11" s="676"/>
      <c r="D11" s="863"/>
      <c r="E11" s="863"/>
      <c r="F11" s="863"/>
      <c r="G11" s="28" t="s">
        <v>506</v>
      </c>
      <c r="H11" s="28" t="s">
        <v>507</v>
      </c>
      <c r="I11" s="28" t="s">
        <v>508</v>
      </c>
      <c r="J11" s="28" t="s">
        <v>509</v>
      </c>
      <c r="K11" s="28" t="s">
        <v>501</v>
      </c>
      <c r="L11" s="28" t="s">
        <v>502</v>
      </c>
      <c r="M11" s="863"/>
      <c r="N11" s="863"/>
      <c r="O11" s="863"/>
    </row>
    <row r="12" spans="1:15" ht="66">
      <c r="A12" s="567" t="s">
        <v>510</v>
      </c>
      <c r="B12" s="567" t="s">
        <v>511</v>
      </c>
      <c r="C12" s="567" t="s">
        <v>575</v>
      </c>
      <c r="D12" s="567" t="s">
        <v>603</v>
      </c>
      <c r="E12" s="567" t="s">
        <v>513</v>
      </c>
      <c r="F12" s="30" t="s">
        <v>514</v>
      </c>
      <c r="G12" s="567" t="s">
        <v>515</v>
      </c>
      <c r="H12" s="567" t="s">
        <v>516</v>
      </c>
      <c r="I12" s="567" t="s">
        <v>517</v>
      </c>
      <c r="J12" s="30" t="s">
        <v>518</v>
      </c>
      <c r="K12" s="30" t="s">
        <v>519</v>
      </c>
      <c r="L12" s="30" t="s">
        <v>520</v>
      </c>
      <c r="M12" s="576" t="s">
        <v>521</v>
      </c>
      <c r="N12" s="576" t="s">
        <v>522</v>
      </c>
      <c r="O12" s="30" t="s">
        <v>523</v>
      </c>
    </row>
    <row r="13" spans="1:15" ht="27" customHeight="1">
      <c r="A13" s="30">
        <v>1</v>
      </c>
      <c r="B13" s="32">
        <v>16128</v>
      </c>
      <c r="C13" s="174">
        <v>1</v>
      </c>
      <c r="D13" s="334">
        <f>+B13*C13*0.79/10^6</f>
        <v>1.2741120000000002E-2</v>
      </c>
      <c r="E13" s="174">
        <v>43.8</v>
      </c>
      <c r="F13" s="101">
        <f>+D13*E13</f>
        <v>0.558061056</v>
      </c>
      <c r="G13" s="100">
        <f>+$E$35</f>
        <v>71900</v>
      </c>
      <c r="H13" s="33">
        <f>+$E$36</f>
        <v>3</v>
      </c>
      <c r="I13" s="33">
        <f>+$E$37</f>
        <v>0.6</v>
      </c>
      <c r="J13" s="99">
        <f>+F13*G13</f>
        <v>40124.589926400004</v>
      </c>
      <c r="K13" s="99">
        <f>+F13*H13</f>
        <v>1.6741831679999999</v>
      </c>
      <c r="L13" s="99">
        <f>+F13*I13</f>
        <v>0.33483663359999999</v>
      </c>
      <c r="M13" s="30">
        <v>27.9</v>
      </c>
      <c r="N13" s="30">
        <v>273</v>
      </c>
      <c r="O13" s="101">
        <f>+(J13+K13*M13+L13*N13)/1000</f>
        <v>40.262710037760009</v>
      </c>
    </row>
    <row r="14" spans="1:15" ht="27" customHeight="1">
      <c r="A14" s="30">
        <v>2</v>
      </c>
      <c r="B14" s="32">
        <v>7332</v>
      </c>
      <c r="C14" s="174">
        <v>1</v>
      </c>
      <c r="D14" s="334">
        <f t="shared" ref="D14:D24" si="0">+B14*C14*0.79/10^6</f>
        <v>5.7922800000000003E-3</v>
      </c>
      <c r="E14" s="174">
        <v>43.8</v>
      </c>
      <c r="F14" s="101">
        <f t="shared" ref="F14:F24" si="1">+D14*E14</f>
        <v>0.253701864</v>
      </c>
      <c r="G14" s="100">
        <f t="shared" ref="G14:G24" si="2">+$E$35</f>
        <v>71900</v>
      </c>
      <c r="H14" s="33">
        <f t="shared" ref="H14:H24" si="3">+$E$36</f>
        <v>3</v>
      </c>
      <c r="I14" s="33">
        <f t="shared" ref="I14:I24" si="4">+$E$37</f>
        <v>0.6</v>
      </c>
      <c r="J14" s="99">
        <f t="shared" ref="J14:J24" si="5">+F14*G14</f>
        <v>18241.164021600001</v>
      </c>
      <c r="K14" s="99">
        <f t="shared" ref="K14:K24" si="6">+F14*H14</f>
        <v>0.76110559200000005</v>
      </c>
      <c r="L14" s="99">
        <f t="shared" ref="L14:L24" si="7">+F14*I14</f>
        <v>0.15222111839999999</v>
      </c>
      <c r="M14" s="30">
        <v>27.9</v>
      </c>
      <c r="N14" s="30">
        <v>273</v>
      </c>
      <c r="O14" s="101">
        <f t="shared" ref="O14:O24" si="8">+(J14+K14*M14+L14*N14)/1000</f>
        <v>18.303955232939998</v>
      </c>
    </row>
    <row r="15" spans="1:15" ht="27" customHeight="1">
      <c r="A15" s="30">
        <v>3</v>
      </c>
      <c r="B15" s="32">
        <v>13724</v>
      </c>
      <c r="C15" s="174">
        <v>1</v>
      </c>
      <c r="D15" s="334">
        <f t="shared" si="0"/>
        <v>1.0841960000000001E-2</v>
      </c>
      <c r="E15" s="174">
        <v>43.8</v>
      </c>
      <c r="F15" s="101">
        <f t="shared" si="1"/>
        <v>0.47487784800000005</v>
      </c>
      <c r="G15" s="100">
        <f t="shared" si="2"/>
        <v>71900</v>
      </c>
      <c r="H15" s="33">
        <f t="shared" si="3"/>
        <v>3</v>
      </c>
      <c r="I15" s="33">
        <f t="shared" si="4"/>
        <v>0.6</v>
      </c>
      <c r="J15" s="99">
        <f t="shared" si="5"/>
        <v>34143.717271200003</v>
      </c>
      <c r="K15" s="99">
        <f t="shared" si="6"/>
        <v>1.4246335440000002</v>
      </c>
      <c r="L15" s="99">
        <f t="shared" si="7"/>
        <v>0.28492670880000004</v>
      </c>
      <c r="M15" s="30">
        <v>27.9</v>
      </c>
      <c r="N15" s="30">
        <v>273</v>
      </c>
      <c r="O15" s="101">
        <f t="shared" si="8"/>
        <v>34.261249538579996</v>
      </c>
    </row>
    <row r="16" spans="1:15" ht="27" customHeight="1">
      <c r="A16" s="30">
        <v>4</v>
      </c>
      <c r="B16" s="32">
        <v>17581</v>
      </c>
      <c r="C16" s="174">
        <v>1</v>
      </c>
      <c r="D16" s="334">
        <f t="shared" si="0"/>
        <v>1.388899E-2</v>
      </c>
      <c r="E16" s="174">
        <v>43.8</v>
      </c>
      <c r="F16" s="101">
        <f t="shared" si="1"/>
        <v>0.608337762</v>
      </c>
      <c r="G16" s="100">
        <f t="shared" si="2"/>
        <v>71900</v>
      </c>
      <c r="H16" s="33">
        <f t="shared" si="3"/>
        <v>3</v>
      </c>
      <c r="I16" s="33">
        <f t="shared" si="4"/>
        <v>0.6</v>
      </c>
      <c r="J16" s="99">
        <f t="shared" si="5"/>
        <v>43739.4850878</v>
      </c>
      <c r="K16" s="99">
        <f t="shared" si="6"/>
        <v>1.8250132859999999</v>
      </c>
      <c r="L16" s="99">
        <f t="shared" si="7"/>
        <v>0.36500265719999997</v>
      </c>
      <c r="M16" s="30">
        <v>27.9</v>
      </c>
      <c r="N16" s="30">
        <v>273</v>
      </c>
      <c r="O16" s="101">
        <f t="shared" si="8"/>
        <v>43.890048683894996</v>
      </c>
    </row>
    <row r="17" spans="1:15" ht="27" customHeight="1">
      <c r="A17" s="30">
        <v>5</v>
      </c>
      <c r="B17" s="32">
        <v>19057</v>
      </c>
      <c r="C17" s="174">
        <v>1</v>
      </c>
      <c r="D17" s="334">
        <f t="shared" si="0"/>
        <v>1.505503E-2</v>
      </c>
      <c r="E17" s="174">
        <v>43.8</v>
      </c>
      <c r="F17" s="101">
        <f t="shared" si="1"/>
        <v>0.65941031399999994</v>
      </c>
      <c r="G17" s="100">
        <f t="shared" si="2"/>
        <v>71900</v>
      </c>
      <c r="H17" s="33">
        <f t="shared" si="3"/>
        <v>3</v>
      </c>
      <c r="I17" s="33">
        <f t="shared" si="4"/>
        <v>0.6</v>
      </c>
      <c r="J17" s="99">
        <f t="shared" si="5"/>
        <v>47411.601576599998</v>
      </c>
      <c r="K17" s="99">
        <f t="shared" si="6"/>
        <v>1.9782309419999997</v>
      </c>
      <c r="L17" s="99">
        <f t="shared" si="7"/>
        <v>0.39564618839999993</v>
      </c>
      <c r="M17" s="30">
        <v>27.9</v>
      </c>
      <c r="N17" s="30">
        <v>273</v>
      </c>
      <c r="O17" s="101">
        <f t="shared" si="8"/>
        <v>47.574805629315001</v>
      </c>
    </row>
    <row r="18" spans="1:15" ht="27" customHeight="1">
      <c r="A18" s="30">
        <v>6</v>
      </c>
      <c r="B18" s="32">
        <v>13299</v>
      </c>
      <c r="C18" s="174">
        <v>1</v>
      </c>
      <c r="D18" s="334">
        <f t="shared" si="0"/>
        <v>1.050621E-2</v>
      </c>
      <c r="E18" s="174">
        <v>43.8</v>
      </c>
      <c r="F18" s="101">
        <f t="shared" si="1"/>
        <v>0.46017199799999997</v>
      </c>
      <c r="G18" s="100">
        <f t="shared" si="2"/>
        <v>71900</v>
      </c>
      <c r="H18" s="33">
        <f t="shared" si="3"/>
        <v>3</v>
      </c>
      <c r="I18" s="33">
        <f t="shared" si="4"/>
        <v>0.6</v>
      </c>
      <c r="J18" s="99">
        <f t="shared" si="5"/>
        <v>33086.3666562</v>
      </c>
      <c r="K18" s="99">
        <f t="shared" si="6"/>
        <v>1.380515994</v>
      </c>
      <c r="L18" s="99">
        <f t="shared" si="7"/>
        <v>0.27610319879999995</v>
      </c>
      <c r="M18" s="30">
        <v>27.9</v>
      </c>
      <c r="N18" s="30">
        <v>273</v>
      </c>
      <c r="O18" s="101">
        <f t="shared" si="8"/>
        <v>33.200259225704997</v>
      </c>
    </row>
    <row r="19" spans="1:15" ht="27" customHeight="1">
      <c r="A19" s="30">
        <v>7</v>
      </c>
      <c r="B19" s="32">
        <v>20651</v>
      </c>
      <c r="C19" s="174">
        <v>1</v>
      </c>
      <c r="D19" s="334">
        <f t="shared" si="0"/>
        <v>1.6314290000000002E-2</v>
      </c>
      <c r="E19" s="174">
        <v>43.8</v>
      </c>
      <c r="F19" s="101">
        <f t="shared" si="1"/>
        <v>0.71456590200000003</v>
      </c>
      <c r="G19" s="100">
        <f t="shared" si="2"/>
        <v>71900</v>
      </c>
      <c r="H19" s="33">
        <f t="shared" si="3"/>
        <v>3</v>
      </c>
      <c r="I19" s="33">
        <f t="shared" si="4"/>
        <v>0.6</v>
      </c>
      <c r="J19" s="99">
        <f t="shared" si="5"/>
        <v>51377.288353800002</v>
      </c>
      <c r="K19" s="99">
        <f t="shared" si="6"/>
        <v>2.1436977060000002</v>
      </c>
      <c r="L19" s="99">
        <f t="shared" si="7"/>
        <v>0.42873954120000002</v>
      </c>
      <c r="M19" s="30">
        <v>27.9</v>
      </c>
      <c r="N19" s="30">
        <v>273</v>
      </c>
      <c r="O19" s="101">
        <f t="shared" si="8"/>
        <v>51.554143414545003</v>
      </c>
    </row>
    <row r="20" spans="1:15" ht="27" customHeight="1">
      <c r="A20" s="30">
        <v>8</v>
      </c>
      <c r="B20" s="32">
        <v>18488</v>
      </c>
      <c r="C20" s="174">
        <v>1</v>
      </c>
      <c r="D20" s="334">
        <f t="shared" si="0"/>
        <v>1.460552E-2</v>
      </c>
      <c r="E20" s="174">
        <v>43.8</v>
      </c>
      <c r="F20" s="101">
        <f t="shared" si="1"/>
        <v>0.63972177600000002</v>
      </c>
      <c r="G20" s="100">
        <f t="shared" si="2"/>
        <v>71900</v>
      </c>
      <c r="H20" s="33">
        <f t="shared" si="3"/>
        <v>3</v>
      </c>
      <c r="I20" s="33">
        <f t="shared" si="4"/>
        <v>0.6</v>
      </c>
      <c r="J20" s="99">
        <f t="shared" si="5"/>
        <v>45995.995694400001</v>
      </c>
      <c r="K20" s="99">
        <f t="shared" si="6"/>
        <v>1.9191653280000001</v>
      </c>
      <c r="L20" s="99">
        <f t="shared" si="7"/>
        <v>0.38383306560000002</v>
      </c>
      <c r="M20" s="30">
        <v>27.9</v>
      </c>
      <c r="N20" s="30">
        <v>273</v>
      </c>
      <c r="O20" s="101">
        <f t="shared" si="8"/>
        <v>46.154326833960006</v>
      </c>
    </row>
    <row r="21" spans="1:15" ht="27" customHeight="1">
      <c r="A21" s="30">
        <v>9</v>
      </c>
      <c r="B21" s="32">
        <v>16965</v>
      </c>
      <c r="C21" s="174">
        <v>1</v>
      </c>
      <c r="D21" s="334">
        <f t="shared" si="0"/>
        <v>1.340235E-2</v>
      </c>
      <c r="E21" s="174">
        <v>43.8</v>
      </c>
      <c r="F21" s="101">
        <f t="shared" si="1"/>
        <v>0.58702292999999994</v>
      </c>
      <c r="G21" s="100">
        <f t="shared" si="2"/>
        <v>71900</v>
      </c>
      <c r="H21" s="33">
        <f t="shared" si="3"/>
        <v>3</v>
      </c>
      <c r="I21" s="33">
        <f t="shared" si="4"/>
        <v>0.6</v>
      </c>
      <c r="J21" s="99">
        <f t="shared" si="5"/>
        <v>42206.948666999997</v>
      </c>
      <c r="K21" s="99">
        <f t="shared" si="6"/>
        <v>1.7610687899999999</v>
      </c>
      <c r="L21" s="99">
        <f t="shared" si="7"/>
        <v>0.35221375799999993</v>
      </c>
      <c r="M21" s="30">
        <v>27.9</v>
      </c>
      <c r="N21" s="30">
        <v>273</v>
      </c>
      <c r="O21" s="101">
        <f t="shared" si="8"/>
        <v>42.352236842174996</v>
      </c>
    </row>
    <row r="22" spans="1:15" ht="27" customHeight="1">
      <c r="A22" s="30">
        <v>10</v>
      </c>
      <c r="B22" s="32">
        <v>21190</v>
      </c>
      <c r="C22" s="174">
        <v>1</v>
      </c>
      <c r="D22" s="334">
        <f t="shared" si="0"/>
        <v>1.6740100000000001E-2</v>
      </c>
      <c r="E22" s="174">
        <v>43.8</v>
      </c>
      <c r="F22" s="101">
        <f t="shared" si="1"/>
        <v>0.73321638</v>
      </c>
      <c r="G22" s="100">
        <f t="shared" si="2"/>
        <v>71900</v>
      </c>
      <c r="H22" s="33">
        <f t="shared" si="3"/>
        <v>3</v>
      </c>
      <c r="I22" s="33">
        <f t="shared" si="4"/>
        <v>0.6</v>
      </c>
      <c r="J22" s="99">
        <f t="shared" si="5"/>
        <v>52718.257722000002</v>
      </c>
      <c r="K22" s="99">
        <f t="shared" si="6"/>
        <v>2.19964914</v>
      </c>
      <c r="L22" s="99">
        <f t="shared" si="7"/>
        <v>0.43992982799999997</v>
      </c>
      <c r="M22" s="30">
        <v>27.9</v>
      </c>
      <c r="N22" s="30">
        <v>273</v>
      </c>
      <c r="O22" s="101">
        <f t="shared" si="8"/>
        <v>52.899728776049997</v>
      </c>
    </row>
    <row r="23" spans="1:15" ht="27" customHeight="1">
      <c r="A23" s="30">
        <v>11</v>
      </c>
      <c r="B23" s="32">
        <v>20225</v>
      </c>
      <c r="C23" s="174">
        <v>1</v>
      </c>
      <c r="D23" s="334">
        <f t="shared" si="0"/>
        <v>1.5977749999999999E-2</v>
      </c>
      <c r="E23" s="174">
        <v>43.8</v>
      </c>
      <c r="F23" s="101">
        <f t="shared" si="1"/>
        <v>0.69982544999999996</v>
      </c>
      <c r="G23" s="100">
        <f t="shared" si="2"/>
        <v>71900</v>
      </c>
      <c r="H23" s="33">
        <f t="shared" si="3"/>
        <v>3</v>
      </c>
      <c r="I23" s="33">
        <f t="shared" si="4"/>
        <v>0.6</v>
      </c>
      <c r="J23" s="99">
        <f t="shared" si="5"/>
        <v>50317.449854999999</v>
      </c>
      <c r="K23" s="99">
        <f t="shared" si="6"/>
        <v>2.0994763499999998</v>
      </c>
      <c r="L23" s="99">
        <f t="shared" si="7"/>
        <v>0.41989526999999999</v>
      </c>
      <c r="M23" s="30">
        <v>27.9</v>
      </c>
      <c r="N23" s="30">
        <v>273</v>
      </c>
      <c r="O23" s="101">
        <f t="shared" si="8"/>
        <v>50.490656653875007</v>
      </c>
    </row>
    <row r="24" spans="1:15" ht="27" customHeight="1">
      <c r="A24" s="30">
        <v>12</v>
      </c>
      <c r="B24" s="32">
        <v>20681</v>
      </c>
      <c r="C24" s="174">
        <v>1</v>
      </c>
      <c r="D24" s="334">
        <f t="shared" si="0"/>
        <v>1.633799E-2</v>
      </c>
      <c r="E24" s="174">
        <v>43.8</v>
      </c>
      <c r="F24" s="101">
        <f t="shared" si="1"/>
        <v>0.71560396199999998</v>
      </c>
      <c r="G24" s="100">
        <f t="shared" si="2"/>
        <v>71900</v>
      </c>
      <c r="H24" s="33">
        <f t="shared" si="3"/>
        <v>3</v>
      </c>
      <c r="I24" s="33">
        <f t="shared" si="4"/>
        <v>0.6</v>
      </c>
      <c r="J24" s="99">
        <f t="shared" si="5"/>
        <v>51451.9248678</v>
      </c>
      <c r="K24" s="99">
        <f t="shared" si="6"/>
        <v>2.1468118860000001</v>
      </c>
      <c r="L24" s="99">
        <f t="shared" si="7"/>
        <v>0.42936237719999998</v>
      </c>
      <c r="M24" s="30">
        <v>27.9</v>
      </c>
      <c r="N24" s="30">
        <v>273</v>
      </c>
      <c r="O24" s="101">
        <f t="shared" si="8"/>
        <v>51.629036848395003</v>
      </c>
    </row>
    <row r="25" spans="1:15" ht="27" customHeight="1">
      <c r="A25" s="102" t="s">
        <v>469</v>
      </c>
      <c r="B25" s="103">
        <f>SUM(B13:B24)</f>
        <v>205321</v>
      </c>
      <c r="C25" s="103"/>
      <c r="D25" s="103"/>
      <c r="E25" s="103"/>
      <c r="F25" s="103"/>
      <c r="G25" s="105"/>
      <c r="H25" s="103"/>
      <c r="I25" s="103"/>
      <c r="J25" s="269">
        <f>SUM(J13:J24)</f>
        <v>510814.78969979996</v>
      </c>
      <c r="K25" s="269">
        <f>SUM(K13:K24)</f>
        <v>21.313551726</v>
      </c>
      <c r="L25" s="269">
        <f>SUM(L13:L24)</f>
        <v>4.2627103452000004</v>
      </c>
      <c r="M25" s="107"/>
      <c r="N25" s="107"/>
      <c r="O25" s="106">
        <f>SUM(O13:O24)</f>
        <v>512.57315771719504</v>
      </c>
    </row>
    <row r="26" spans="1:15" ht="16.5" hidden="1">
      <c r="A26" s="52"/>
      <c r="B26" s="52"/>
      <c r="C26" s="52"/>
      <c r="D26" s="52"/>
      <c r="E26" s="52"/>
      <c r="F26" s="52"/>
      <c r="G26" s="52"/>
      <c r="H26" s="52"/>
      <c r="I26" s="52"/>
      <c r="J26" s="275">
        <f>+J25/1000</f>
        <v>510.81478969979997</v>
      </c>
      <c r="K26" s="276">
        <f>+K25*M24/1000</f>
        <v>0.5946480931553999</v>
      </c>
      <c r="L26" s="275">
        <f>+L25*N24/1000</f>
        <v>1.1637199242395999</v>
      </c>
      <c r="M26" s="52"/>
      <c r="N26" s="52"/>
      <c r="O26" s="52"/>
    </row>
    <row r="27" spans="1:15" ht="16.5">
      <c r="A27" s="52"/>
      <c r="B27" s="52"/>
      <c r="C27" s="52"/>
      <c r="D27" s="52"/>
      <c r="E27" s="52"/>
      <c r="F27" s="52"/>
      <c r="G27" s="52"/>
      <c r="H27" s="52"/>
      <c r="I27" s="52"/>
      <c r="J27" s="52"/>
      <c r="K27" s="52"/>
      <c r="L27" s="52"/>
      <c r="M27" s="52"/>
      <c r="N27" s="52"/>
      <c r="O27" s="52"/>
    </row>
    <row r="28" spans="1:15" ht="16.5">
      <c r="A28" s="961" t="s">
        <v>524</v>
      </c>
      <c r="B28" s="962"/>
      <c r="C28" s="962"/>
      <c r="D28" s="962"/>
      <c r="E28" s="962"/>
      <c r="F28" s="962"/>
      <c r="G28" s="962"/>
      <c r="H28" s="962"/>
      <c r="I28" s="962"/>
      <c r="J28" s="962"/>
      <c r="K28" s="962"/>
      <c r="L28" s="962"/>
      <c r="M28" s="962"/>
      <c r="N28" s="962"/>
      <c r="O28" s="963"/>
    </row>
    <row r="29" spans="1:15" ht="16.5">
      <c r="A29" s="249"/>
      <c r="B29" s="23"/>
      <c r="C29" s="23"/>
      <c r="D29" s="23"/>
      <c r="E29" s="23"/>
      <c r="F29" s="23"/>
      <c r="G29" s="23"/>
      <c r="H29" s="23"/>
      <c r="I29" s="23"/>
      <c r="J29" s="23"/>
      <c r="K29" s="23"/>
      <c r="L29" s="23"/>
      <c r="M29" s="23"/>
      <c r="N29" s="23"/>
      <c r="O29" s="24"/>
    </row>
    <row r="30" spans="1:15" ht="19.149999999999999" customHeight="1">
      <c r="A30" s="899" t="s">
        <v>525</v>
      </c>
      <c r="B30" s="899"/>
      <c r="C30" s="899"/>
      <c r="D30" s="899"/>
      <c r="E30" s="899" t="s">
        <v>526</v>
      </c>
      <c r="F30" s="899"/>
      <c r="G30" s="46" t="s">
        <v>527</v>
      </c>
      <c r="H30" s="899" t="s">
        <v>528</v>
      </c>
      <c r="I30" s="899"/>
      <c r="J30" s="899"/>
      <c r="K30" s="899"/>
      <c r="L30" s="899"/>
      <c r="M30" s="899"/>
      <c r="N30" s="899"/>
      <c r="O30" s="899"/>
    </row>
    <row r="31" spans="1:15" ht="23.45" customHeight="1">
      <c r="A31" s="671" t="s">
        <v>529</v>
      </c>
      <c r="B31" s="671"/>
      <c r="C31" s="671"/>
      <c r="D31" s="671"/>
      <c r="E31" s="895" t="s">
        <v>530</v>
      </c>
      <c r="F31" s="895"/>
      <c r="G31" s="177" t="s">
        <v>531</v>
      </c>
      <c r="H31" s="895" t="s">
        <v>532</v>
      </c>
      <c r="I31" s="895"/>
      <c r="J31" s="895"/>
      <c r="K31" s="895"/>
      <c r="L31" s="895"/>
      <c r="M31" s="895"/>
      <c r="N31" s="895"/>
      <c r="O31" s="895"/>
    </row>
    <row r="32" spans="1:15" ht="42" customHeight="1">
      <c r="A32" s="671" t="s">
        <v>604</v>
      </c>
      <c r="B32" s="671"/>
      <c r="C32" s="671"/>
      <c r="D32" s="671"/>
      <c r="E32" s="895">
        <v>0.79</v>
      </c>
      <c r="F32" s="895"/>
      <c r="G32" s="177" t="s">
        <v>534</v>
      </c>
      <c r="H32" s="895" t="s">
        <v>605</v>
      </c>
      <c r="I32" s="895"/>
      <c r="J32" s="895"/>
      <c r="K32" s="895"/>
      <c r="L32" s="895"/>
      <c r="M32" s="895"/>
      <c r="N32" s="895"/>
      <c r="O32" s="895"/>
    </row>
    <row r="33" spans="1:15" ht="43.15" customHeight="1">
      <c r="A33" s="899" t="s">
        <v>606</v>
      </c>
      <c r="B33" s="899"/>
      <c r="C33" s="899"/>
      <c r="D33" s="899"/>
      <c r="E33" s="899" t="s">
        <v>526</v>
      </c>
      <c r="F33" s="899"/>
      <c r="G33" s="46" t="s">
        <v>527</v>
      </c>
      <c r="H33" s="899" t="s">
        <v>528</v>
      </c>
      <c r="I33" s="899"/>
      <c r="J33" s="899"/>
      <c r="K33" s="899"/>
      <c r="L33" s="899"/>
      <c r="M33" s="863" t="s">
        <v>537</v>
      </c>
      <c r="N33" s="863"/>
      <c r="O33" s="863"/>
    </row>
    <row r="34" spans="1:15" ht="23.45" customHeight="1">
      <c r="A34" s="895" t="s">
        <v>596</v>
      </c>
      <c r="B34" s="895"/>
      <c r="C34" s="895"/>
      <c r="D34" s="895"/>
      <c r="E34" s="897">
        <v>43.8</v>
      </c>
      <c r="F34" s="897"/>
      <c r="G34" s="177" t="s">
        <v>539</v>
      </c>
      <c r="H34" s="895" t="s">
        <v>540</v>
      </c>
      <c r="I34" s="895"/>
      <c r="J34" s="895"/>
      <c r="K34" s="895"/>
      <c r="L34" s="895"/>
      <c r="M34" s="731"/>
      <c r="N34" s="731"/>
      <c r="O34" s="731"/>
    </row>
    <row r="35" spans="1:15" ht="23.45" customHeight="1">
      <c r="A35" s="895" t="s">
        <v>541</v>
      </c>
      <c r="B35" s="895"/>
      <c r="C35" s="895"/>
      <c r="D35" s="895"/>
      <c r="E35" s="898">
        <v>71900</v>
      </c>
      <c r="F35" s="898"/>
      <c r="G35" s="177" t="s">
        <v>542</v>
      </c>
      <c r="H35" s="915" t="s">
        <v>607</v>
      </c>
      <c r="I35" s="916"/>
      <c r="J35" s="916"/>
      <c r="K35" s="916"/>
      <c r="L35" s="917"/>
      <c r="M35" s="731" t="s">
        <v>544</v>
      </c>
      <c r="N35" s="731"/>
      <c r="O35" s="731"/>
    </row>
    <row r="36" spans="1:15" ht="23.45" customHeight="1">
      <c r="A36" s="895" t="s">
        <v>545</v>
      </c>
      <c r="B36" s="895"/>
      <c r="C36" s="895"/>
      <c r="D36" s="895"/>
      <c r="E36" s="896">
        <v>3</v>
      </c>
      <c r="F36" s="896"/>
      <c r="G36" s="177" t="s">
        <v>542</v>
      </c>
      <c r="H36" s="915" t="s">
        <v>607</v>
      </c>
      <c r="I36" s="916"/>
      <c r="J36" s="916"/>
      <c r="K36" s="916"/>
      <c r="L36" s="917"/>
      <c r="M36" s="731" t="s">
        <v>544</v>
      </c>
      <c r="N36" s="731"/>
      <c r="O36" s="731"/>
    </row>
    <row r="37" spans="1:15" ht="23.45" customHeight="1">
      <c r="A37" s="895" t="s">
        <v>547</v>
      </c>
      <c r="B37" s="895"/>
      <c r="C37" s="895"/>
      <c r="D37" s="895"/>
      <c r="E37" s="896">
        <v>0.6</v>
      </c>
      <c r="F37" s="896"/>
      <c r="G37" s="177" t="s">
        <v>542</v>
      </c>
      <c r="H37" s="915" t="s">
        <v>607</v>
      </c>
      <c r="I37" s="916"/>
      <c r="J37" s="916"/>
      <c r="K37" s="916"/>
      <c r="L37" s="917"/>
      <c r="M37" s="731" t="s">
        <v>544</v>
      </c>
      <c r="N37" s="731"/>
      <c r="O37" s="731"/>
    </row>
    <row r="38" spans="1:15" ht="23.45" customHeight="1">
      <c r="A38" s="895" t="s">
        <v>549</v>
      </c>
      <c r="B38" s="895"/>
      <c r="C38" s="895"/>
      <c r="D38" s="895"/>
      <c r="E38" s="896">
        <v>27.9</v>
      </c>
      <c r="F38" s="896"/>
      <c r="G38" s="177"/>
      <c r="H38" s="895" t="s">
        <v>550</v>
      </c>
      <c r="I38" s="895"/>
      <c r="J38" s="895"/>
      <c r="K38" s="895"/>
      <c r="L38" s="895"/>
      <c r="M38" s="731"/>
      <c r="N38" s="731"/>
      <c r="O38" s="731"/>
    </row>
    <row r="39" spans="1:15" ht="23.45" customHeight="1">
      <c r="A39" s="895" t="s">
        <v>551</v>
      </c>
      <c r="B39" s="895"/>
      <c r="C39" s="895"/>
      <c r="D39" s="895"/>
      <c r="E39" s="896">
        <v>273</v>
      </c>
      <c r="F39" s="896"/>
      <c r="G39" s="177"/>
      <c r="H39" s="895" t="s">
        <v>550</v>
      </c>
      <c r="I39" s="895"/>
      <c r="J39" s="895"/>
      <c r="K39" s="895"/>
      <c r="L39" s="895"/>
      <c r="M39" s="731"/>
      <c r="N39" s="731"/>
      <c r="O39" s="731"/>
    </row>
  </sheetData>
  <mergeCells count="52">
    <mergeCell ref="G10:I10"/>
    <mergeCell ref="J10:L10"/>
    <mergeCell ref="A28:O28"/>
    <mergeCell ref="A30:D30"/>
    <mergeCell ref="E30:F30"/>
    <mergeCell ref="H30:O30"/>
    <mergeCell ref="A31:D31"/>
    <mergeCell ref="E31:F31"/>
    <mergeCell ref="H31:O31"/>
    <mergeCell ref="A32:D32"/>
    <mergeCell ref="E32:F32"/>
    <mergeCell ref="H32:O32"/>
    <mergeCell ref="A33:D33"/>
    <mergeCell ref="E33:F33"/>
    <mergeCell ref="H33:L33"/>
    <mergeCell ref="M33:O33"/>
    <mergeCell ref="A34:D34"/>
    <mergeCell ref="E34:F34"/>
    <mergeCell ref="H34:L34"/>
    <mergeCell ref="M34:O34"/>
    <mergeCell ref="A35:D35"/>
    <mergeCell ref="E35:F35"/>
    <mergeCell ref="H35:L35"/>
    <mergeCell ref="M35:O35"/>
    <mergeCell ref="A36:D36"/>
    <mergeCell ref="E36:F36"/>
    <mergeCell ref="H36:L36"/>
    <mergeCell ref="M36:O36"/>
    <mergeCell ref="A37:D37"/>
    <mergeCell ref="E37:F37"/>
    <mergeCell ref="H37:L37"/>
    <mergeCell ref="M37:O37"/>
    <mergeCell ref="A38:D38"/>
    <mergeCell ref="E38:F38"/>
    <mergeCell ref="H38:L38"/>
    <mergeCell ref="M38:O38"/>
    <mergeCell ref="A1:C3"/>
    <mergeCell ref="D1:M3"/>
    <mergeCell ref="N1:O3"/>
    <mergeCell ref="A39:D39"/>
    <mergeCell ref="E39:F39"/>
    <mergeCell ref="H39:L39"/>
    <mergeCell ref="M39:O39"/>
    <mergeCell ref="A10:A11"/>
    <mergeCell ref="B10:B11"/>
    <mergeCell ref="C10:C11"/>
    <mergeCell ref="D10:D11"/>
    <mergeCell ref="E10:E11"/>
    <mergeCell ref="F10:F11"/>
    <mergeCell ref="M10:M11"/>
    <mergeCell ref="N10:N11"/>
    <mergeCell ref="O10:O11"/>
  </mergeCells>
  <pageMargins left="0.98425196850393704" right="0.59055118110236204" top="0.78740157480314998" bottom="0.78740157480314998" header="0.31496062992126" footer="0.31496062992126"/>
  <pageSetup scale="49"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pageSetUpPr fitToPage="1"/>
  </sheetPr>
  <dimension ref="A1:F43"/>
  <sheetViews>
    <sheetView topLeftCell="A21" zoomScale="70" zoomScaleNormal="70" workbookViewId="0">
      <selection activeCell="F1" sqref="F1:F3"/>
    </sheetView>
  </sheetViews>
  <sheetFormatPr defaultColWidth="9.28515625" defaultRowHeight="14.25"/>
  <cols>
    <col min="1" max="1" width="10.28515625" style="18" customWidth="1"/>
    <col min="2" max="2" width="23.5703125" style="18" customWidth="1"/>
    <col min="3" max="3" width="23" style="18" customWidth="1"/>
    <col min="4" max="4" width="34.140625" style="18" customWidth="1"/>
    <col min="5" max="5" width="39.28515625" style="18" customWidth="1"/>
    <col min="6" max="6" width="42.7109375" style="18" customWidth="1"/>
    <col min="7" max="7" width="23.28515625" style="18" customWidth="1"/>
    <col min="8" max="16384" width="9.28515625" style="18"/>
  </cols>
  <sheetData>
    <row r="1" spans="1:6" ht="25.9" customHeight="1">
      <c r="A1" s="926"/>
      <c r="B1" s="926"/>
      <c r="C1" s="780" t="s">
        <v>608</v>
      </c>
      <c r="D1" s="780"/>
      <c r="E1" s="780"/>
      <c r="F1" s="780" t="s">
        <v>1115</v>
      </c>
    </row>
    <row r="2" spans="1:6" ht="53.45" customHeight="1">
      <c r="A2" s="926"/>
      <c r="B2" s="926"/>
      <c r="C2" s="780"/>
      <c r="D2" s="780"/>
      <c r="E2" s="780"/>
      <c r="F2" s="780"/>
    </row>
    <row r="3" spans="1:6" ht="22.5" customHeight="1">
      <c r="A3" s="926"/>
      <c r="B3" s="926"/>
      <c r="C3" s="780"/>
      <c r="D3" s="780"/>
      <c r="E3" s="780"/>
      <c r="F3" s="780"/>
    </row>
    <row r="4" spans="1:6">
      <c r="A4" s="307"/>
      <c r="B4" s="308"/>
      <c r="C4" s="308"/>
      <c r="D4" s="308"/>
      <c r="E4" s="308"/>
      <c r="F4" s="311"/>
    </row>
    <row r="5" spans="1:6" ht="19.149999999999999" customHeight="1">
      <c r="A5" s="91" t="s">
        <v>609</v>
      </c>
      <c r="B5" s="23"/>
      <c r="C5" s="23"/>
      <c r="D5" s="23"/>
      <c r="E5" s="23"/>
      <c r="F5" s="24"/>
    </row>
    <row r="6" spans="1:6" ht="22.9" customHeight="1">
      <c r="A6" s="26" t="s">
        <v>571</v>
      </c>
      <c r="B6" s="23"/>
      <c r="C6" s="23"/>
      <c r="D6" s="23"/>
      <c r="E6" s="23"/>
      <c r="F6" s="24"/>
    </row>
    <row r="7" spans="1:6" ht="19.5">
      <c r="A7" s="26" t="s">
        <v>492</v>
      </c>
      <c r="B7" s="23"/>
      <c r="C7" s="23"/>
      <c r="D7" s="23"/>
      <c r="E7" s="23"/>
      <c r="F7" s="24"/>
    </row>
    <row r="8" spans="1:6" ht="19.899999999999999" customHeight="1">
      <c r="A8" s="27" t="s">
        <v>493</v>
      </c>
      <c r="B8" s="23"/>
      <c r="C8" s="23"/>
      <c r="D8" s="23"/>
      <c r="E8" s="23"/>
      <c r="F8" s="24"/>
    </row>
    <row r="9" spans="1:6" ht="16.5">
      <c r="A9" s="92"/>
      <c r="B9" s="94"/>
      <c r="C9" s="94"/>
      <c r="D9" s="94"/>
      <c r="E9" s="94"/>
      <c r="F9" s="93"/>
    </row>
    <row r="10" spans="1:6" ht="13.9" customHeight="1">
      <c r="A10" s="675" t="s">
        <v>494</v>
      </c>
      <c r="B10" s="675" t="s">
        <v>610</v>
      </c>
      <c r="C10" s="675" t="s">
        <v>611</v>
      </c>
      <c r="D10" s="675" t="s">
        <v>612</v>
      </c>
      <c r="E10" s="675" t="s">
        <v>574</v>
      </c>
      <c r="F10" s="675" t="s">
        <v>505</v>
      </c>
    </row>
    <row r="11" spans="1:6" ht="58.9" customHeight="1">
      <c r="A11" s="676"/>
      <c r="B11" s="676"/>
      <c r="C11" s="676"/>
      <c r="D11" s="676"/>
      <c r="E11" s="676"/>
      <c r="F11" s="676"/>
    </row>
    <row r="12" spans="1:6" ht="36.6" customHeight="1">
      <c r="A12" s="567" t="s">
        <v>510</v>
      </c>
      <c r="B12" s="567" t="s">
        <v>511</v>
      </c>
      <c r="C12" s="567" t="s">
        <v>575</v>
      </c>
      <c r="D12" s="567" t="s">
        <v>576</v>
      </c>
      <c r="E12" s="567" t="s">
        <v>577</v>
      </c>
      <c r="F12" s="567" t="s">
        <v>578</v>
      </c>
    </row>
    <row r="13" spans="1:6" ht="25.5" customHeight="1">
      <c r="A13" s="30">
        <v>1</v>
      </c>
      <c r="B13" s="299">
        <v>700</v>
      </c>
      <c r="C13" s="332">
        <v>0.4</v>
      </c>
      <c r="D13" s="268">
        <f>+B13*C13</f>
        <v>280</v>
      </c>
      <c r="E13" s="99">
        <v>0.36099999999999999</v>
      </c>
      <c r="F13" s="101">
        <f t="shared" ref="F13:F24" si="0">+D13*E13/1000</f>
        <v>0.10108</v>
      </c>
    </row>
    <row r="14" spans="1:6" ht="25.5" customHeight="1">
      <c r="A14" s="30">
        <v>2</v>
      </c>
      <c r="B14" s="299">
        <v>1000</v>
      </c>
      <c r="C14" s="332">
        <v>0.4</v>
      </c>
      <c r="D14" s="268">
        <f t="shared" ref="D14:D24" si="1">+B14*C14</f>
        <v>400</v>
      </c>
      <c r="E14" s="99">
        <v>0.36099999999999999</v>
      </c>
      <c r="F14" s="101">
        <f t="shared" si="0"/>
        <v>0.1444</v>
      </c>
    </row>
    <row r="15" spans="1:6" ht="25.5" customHeight="1">
      <c r="A15" s="30">
        <v>3</v>
      </c>
      <c r="B15" s="299">
        <v>1000</v>
      </c>
      <c r="C15" s="332">
        <v>0.4</v>
      </c>
      <c r="D15" s="268">
        <f t="shared" si="1"/>
        <v>400</v>
      </c>
      <c r="E15" s="99">
        <v>0.36099999999999999</v>
      </c>
      <c r="F15" s="101">
        <f t="shared" si="0"/>
        <v>0.1444</v>
      </c>
    </row>
    <row r="16" spans="1:6" ht="25.5" customHeight="1">
      <c r="A16" s="30">
        <v>4</v>
      </c>
      <c r="B16" s="299">
        <v>980</v>
      </c>
      <c r="C16" s="332">
        <v>0.4</v>
      </c>
      <c r="D16" s="268">
        <f t="shared" si="1"/>
        <v>392</v>
      </c>
      <c r="E16" s="99">
        <v>0.36099999999999999</v>
      </c>
      <c r="F16" s="101">
        <f t="shared" si="0"/>
        <v>0.141512</v>
      </c>
    </row>
    <row r="17" spans="1:6" ht="25.5" customHeight="1">
      <c r="A17" s="30">
        <v>5</v>
      </c>
      <c r="B17" s="299">
        <v>1000</v>
      </c>
      <c r="C17" s="332">
        <v>0.4</v>
      </c>
      <c r="D17" s="268">
        <f t="shared" si="1"/>
        <v>400</v>
      </c>
      <c r="E17" s="99">
        <v>0.36099999999999999</v>
      </c>
      <c r="F17" s="101">
        <f t="shared" si="0"/>
        <v>0.1444</v>
      </c>
    </row>
    <row r="18" spans="1:6" ht="25.5" customHeight="1">
      <c r="A18" s="30">
        <v>6</v>
      </c>
      <c r="B18" s="299">
        <v>1000</v>
      </c>
      <c r="C18" s="332">
        <v>0.4</v>
      </c>
      <c r="D18" s="268">
        <f t="shared" si="1"/>
        <v>400</v>
      </c>
      <c r="E18" s="99">
        <v>0.36099999999999999</v>
      </c>
      <c r="F18" s="101">
        <f t="shared" si="0"/>
        <v>0.1444</v>
      </c>
    </row>
    <row r="19" spans="1:6" ht="25.5" customHeight="1">
      <c r="A19" s="30">
        <v>7</v>
      </c>
      <c r="B19" s="299">
        <v>500</v>
      </c>
      <c r="C19" s="332">
        <v>0.4</v>
      </c>
      <c r="D19" s="268">
        <f t="shared" si="1"/>
        <v>200</v>
      </c>
      <c r="E19" s="99">
        <v>0.36099999999999999</v>
      </c>
      <c r="F19" s="101">
        <f t="shared" si="0"/>
        <v>7.22E-2</v>
      </c>
    </row>
    <row r="20" spans="1:6" ht="25.5" customHeight="1">
      <c r="A20" s="30">
        <v>8</v>
      </c>
      <c r="B20" s="299">
        <v>0</v>
      </c>
      <c r="C20" s="332">
        <v>0.4</v>
      </c>
      <c r="D20" s="268">
        <f t="shared" si="1"/>
        <v>0</v>
      </c>
      <c r="E20" s="99">
        <v>0.36099999999999999</v>
      </c>
      <c r="F20" s="101">
        <f t="shared" si="0"/>
        <v>0</v>
      </c>
    </row>
    <row r="21" spans="1:6" ht="25.5" customHeight="1">
      <c r="A21" s="30">
        <v>9</v>
      </c>
      <c r="B21" s="299">
        <v>200</v>
      </c>
      <c r="C21" s="332">
        <v>0.4</v>
      </c>
      <c r="D21" s="268">
        <f t="shared" si="1"/>
        <v>80</v>
      </c>
      <c r="E21" s="99">
        <v>0.36099999999999999</v>
      </c>
      <c r="F21" s="101">
        <f t="shared" si="0"/>
        <v>2.8879999999999999E-2</v>
      </c>
    </row>
    <row r="22" spans="1:6" ht="25.5" customHeight="1">
      <c r="A22" s="30">
        <v>10</v>
      </c>
      <c r="B22" s="299">
        <v>500</v>
      </c>
      <c r="C22" s="332">
        <v>0.4</v>
      </c>
      <c r="D22" s="268">
        <f t="shared" si="1"/>
        <v>200</v>
      </c>
      <c r="E22" s="99">
        <v>0.36099999999999999</v>
      </c>
      <c r="F22" s="101">
        <f t="shared" si="0"/>
        <v>7.22E-2</v>
      </c>
    </row>
    <row r="23" spans="1:6" ht="25.5" customHeight="1">
      <c r="A23" s="30">
        <v>11</v>
      </c>
      <c r="B23" s="299">
        <v>500</v>
      </c>
      <c r="C23" s="332">
        <v>0.4</v>
      </c>
      <c r="D23" s="268">
        <f t="shared" si="1"/>
        <v>200</v>
      </c>
      <c r="E23" s="99">
        <v>0.36099999999999999</v>
      </c>
      <c r="F23" s="101">
        <f t="shared" si="0"/>
        <v>7.22E-2</v>
      </c>
    </row>
    <row r="24" spans="1:6" ht="25.5" customHeight="1">
      <c r="A24" s="30">
        <v>12</v>
      </c>
      <c r="B24" s="299">
        <v>200</v>
      </c>
      <c r="C24" s="332">
        <v>0.4</v>
      </c>
      <c r="D24" s="268">
        <f t="shared" si="1"/>
        <v>80</v>
      </c>
      <c r="E24" s="99">
        <v>0.36099999999999999</v>
      </c>
      <c r="F24" s="101">
        <f t="shared" si="0"/>
        <v>2.8879999999999999E-2</v>
      </c>
    </row>
    <row r="25" spans="1:6" ht="25.5" customHeight="1">
      <c r="A25" s="320" t="s">
        <v>469</v>
      </c>
      <c r="B25" s="103">
        <f>SUM(B13:B24)</f>
        <v>7580</v>
      </c>
      <c r="C25" s="103"/>
      <c r="D25" s="103">
        <f>SUM(D13:D24)</f>
        <v>3032</v>
      </c>
      <c r="E25" s="103"/>
      <c r="F25" s="106">
        <f>SUM(F13:F24)</f>
        <v>1.094552</v>
      </c>
    </row>
    <row r="26" spans="1:6" ht="16.5">
      <c r="A26" s="23"/>
      <c r="B26" s="23"/>
      <c r="C26" s="23"/>
      <c r="D26" s="23"/>
      <c r="E26" s="23"/>
      <c r="F26" s="23"/>
    </row>
    <row r="27" spans="1:6" ht="16.5">
      <c r="A27" s="52"/>
      <c r="B27" s="52"/>
      <c r="C27" s="52"/>
      <c r="D27" s="52"/>
      <c r="E27" s="52"/>
      <c r="F27" s="52"/>
    </row>
    <row r="28" spans="1:6" ht="18.600000000000001" customHeight="1">
      <c r="A28" s="965" t="s">
        <v>524</v>
      </c>
      <c r="B28" s="965"/>
      <c r="C28" s="965"/>
      <c r="D28" s="965"/>
      <c r="E28" s="965"/>
      <c r="F28" s="965"/>
    </row>
    <row r="29" spans="1:6" ht="18.600000000000001" customHeight="1">
      <c r="A29" s="964" t="s">
        <v>613</v>
      </c>
      <c r="B29" s="964"/>
      <c r="C29" s="964"/>
      <c r="D29" s="964"/>
      <c r="E29" s="964"/>
      <c r="F29" s="964"/>
    </row>
    <row r="30" spans="1:6" ht="18.600000000000001" customHeight="1">
      <c r="A30" s="964" t="s">
        <v>614</v>
      </c>
      <c r="B30" s="964"/>
      <c r="C30" s="964"/>
      <c r="D30" s="964"/>
      <c r="E30" s="964"/>
      <c r="F30" s="964"/>
    </row>
    <row r="31" spans="1:6" ht="23.45" customHeight="1">
      <c r="A31" s="966" t="s">
        <v>615</v>
      </c>
      <c r="B31" s="966"/>
      <c r="C31" s="966"/>
      <c r="D31" s="966"/>
      <c r="E31" s="966"/>
      <c r="F31" s="966"/>
    </row>
    <row r="32" spans="1:6" ht="18.600000000000001" customHeight="1">
      <c r="A32" s="964" t="s">
        <v>616</v>
      </c>
      <c r="B32" s="964"/>
      <c r="C32" s="964"/>
      <c r="D32" s="964"/>
      <c r="E32" s="964"/>
      <c r="F32" s="964"/>
    </row>
    <row r="33" spans="1:6" ht="18.600000000000001" customHeight="1">
      <c r="A33" s="964" t="s">
        <v>617</v>
      </c>
      <c r="B33" s="964"/>
      <c r="C33" s="964"/>
      <c r="D33" s="964"/>
      <c r="E33" s="964"/>
      <c r="F33" s="964"/>
    </row>
    <row r="34" spans="1:6" ht="18.600000000000001" customHeight="1">
      <c r="A34" s="964" t="s">
        <v>618</v>
      </c>
      <c r="B34" s="964"/>
      <c r="C34" s="964"/>
      <c r="D34" s="964"/>
      <c r="E34" s="964"/>
      <c r="F34" s="964"/>
    </row>
    <row r="35" spans="1:6" ht="16.5">
      <c r="A35" s="23"/>
      <c r="B35" s="23"/>
      <c r="C35" s="23"/>
      <c r="D35" s="23"/>
      <c r="E35" s="23"/>
      <c r="F35" s="23"/>
    </row>
    <row r="36" spans="1:6" ht="23.45" customHeight="1">
      <c r="A36" s="951" t="s">
        <v>585</v>
      </c>
      <c r="B36" s="952"/>
      <c r="C36" s="953"/>
      <c r="D36" s="46" t="s">
        <v>526</v>
      </c>
      <c r="E36" s="951" t="s">
        <v>586</v>
      </c>
      <c r="F36" s="953"/>
    </row>
    <row r="37" spans="1:6" ht="23.45" customHeight="1">
      <c r="A37" s="915" t="s">
        <v>587</v>
      </c>
      <c r="B37" s="916"/>
      <c r="C37" s="917"/>
      <c r="D37" s="266">
        <v>12</v>
      </c>
      <c r="E37" s="915"/>
      <c r="F37" s="917"/>
    </row>
    <row r="38" spans="1:6" ht="23.45" customHeight="1">
      <c r="A38" s="915" t="s">
        <v>588</v>
      </c>
      <c r="B38" s="916"/>
      <c r="C38" s="917"/>
      <c r="D38" s="266">
        <v>16</v>
      </c>
      <c r="E38" s="915"/>
      <c r="F38" s="917"/>
    </row>
    <row r="39" spans="1:6" ht="23.45" customHeight="1">
      <c r="A39" s="915" t="s">
        <v>619</v>
      </c>
      <c r="B39" s="916"/>
      <c r="C39" s="917"/>
      <c r="D39" s="266">
        <v>23</v>
      </c>
      <c r="E39" s="915"/>
      <c r="F39" s="917"/>
    </row>
    <row r="40" spans="1:6" ht="23.45" customHeight="1">
      <c r="A40" s="915" t="s">
        <v>620</v>
      </c>
      <c r="B40" s="916"/>
      <c r="C40" s="917"/>
      <c r="D40" s="266">
        <v>28</v>
      </c>
      <c r="E40" s="915"/>
      <c r="F40" s="917"/>
    </row>
    <row r="42" spans="1:6">
      <c r="A42" s="894"/>
      <c r="B42" s="894"/>
      <c r="C42" s="894"/>
      <c r="D42" s="20"/>
      <c r="E42" s="20"/>
    </row>
    <row r="43" spans="1:6">
      <c r="A43" s="894"/>
      <c r="B43" s="894"/>
      <c r="C43" s="894"/>
      <c r="D43" s="20"/>
      <c r="E43" s="20"/>
      <c r="F43" s="20"/>
    </row>
  </sheetData>
  <mergeCells count="28">
    <mergeCell ref="A32:F32"/>
    <mergeCell ref="E38:F38"/>
    <mergeCell ref="A39:C39"/>
    <mergeCell ref="E39:F39"/>
    <mergeCell ref="A40:C40"/>
    <mergeCell ref="E40:F40"/>
    <mergeCell ref="A42:C42"/>
    <mergeCell ref="A43:C43"/>
    <mergeCell ref="A10:A11"/>
    <mergeCell ref="B10:B11"/>
    <mergeCell ref="C10:C11"/>
    <mergeCell ref="A38:C38"/>
    <mergeCell ref="A33:F33"/>
    <mergeCell ref="A34:F34"/>
    <mergeCell ref="A36:C36"/>
    <mergeCell ref="E36:F36"/>
    <mergeCell ref="A37:C37"/>
    <mergeCell ref="E37:F37"/>
    <mergeCell ref="A28:F28"/>
    <mergeCell ref="A29:F29"/>
    <mergeCell ref="A30:F30"/>
    <mergeCell ref="A31:F31"/>
    <mergeCell ref="D10:D11"/>
    <mergeCell ref="E10:E11"/>
    <mergeCell ref="F1:F3"/>
    <mergeCell ref="F10:F11"/>
    <mergeCell ref="A1:B3"/>
    <mergeCell ref="C1:E3"/>
  </mergeCells>
  <pageMargins left="0.98425196850393704" right="0.59055118110236204" top="0.78740157480314998" bottom="0.78740157480314998" header="0.31496062992126" footer="0.31496062992126"/>
  <pageSetup scale="51"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2060"/>
    <pageSetUpPr fitToPage="1"/>
  </sheetPr>
  <dimension ref="A1:S48"/>
  <sheetViews>
    <sheetView zoomScale="70" zoomScaleNormal="70" workbookViewId="0">
      <selection activeCell="S1" sqref="S1:S3"/>
    </sheetView>
  </sheetViews>
  <sheetFormatPr defaultColWidth="9.28515625" defaultRowHeight="15"/>
  <cols>
    <col min="1" max="1" width="10.28515625" style="90" customWidth="1"/>
    <col min="2" max="2" width="17.42578125" style="90" customWidth="1"/>
    <col min="3" max="3" width="14.28515625" style="90" customWidth="1"/>
    <col min="4" max="4" width="12.85546875" style="90" customWidth="1"/>
    <col min="5" max="5" width="10.85546875" style="90" customWidth="1"/>
    <col min="6" max="7" width="9.28515625" style="90" customWidth="1"/>
    <col min="8" max="8" width="10.5703125" style="90" customWidth="1"/>
    <col min="9" max="9" width="9.28515625" style="90" customWidth="1"/>
    <col min="10" max="10" width="14.140625" style="90" customWidth="1"/>
    <col min="11" max="11" width="11.5703125" style="90" customWidth="1"/>
    <col min="12" max="12" width="10.85546875" style="90" customWidth="1"/>
    <col min="13" max="13" width="14.7109375" style="90" customWidth="1"/>
    <col min="14" max="14" width="12.85546875" style="90" customWidth="1"/>
    <col min="15" max="15" width="10.7109375" style="90" customWidth="1"/>
    <col min="16" max="17" width="13.5703125" style="90" customWidth="1"/>
    <col min="18" max="18" width="13.140625" style="90" customWidth="1"/>
    <col min="19" max="19" width="24.140625" style="90" customWidth="1"/>
    <col min="20" max="16384" width="9.28515625" style="90"/>
  </cols>
  <sheetData>
    <row r="1" spans="1:19" ht="25.9" customHeight="1">
      <c r="A1" s="900"/>
      <c r="B1" s="900"/>
      <c r="C1" s="967" t="s">
        <v>621</v>
      </c>
      <c r="D1" s="967"/>
      <c r="E1" s="967"/>
      <c r="F1" s="967"/>
      <c r="G1" s="967"/>
      <c r="H1" s="967"/>
      <c r="I1" s="967"/>
      <c r="J1" s="967"/>
      <c r="K1" s="967"/>
      <c r="L1" s="967"/>
      <c r="M1" s="967"/>
      <c r="N1" s="967"/>
      <c r="O1" s="967"/>
      <c r="P1" s="967"/>
      <c r="Q1" s="967"/>
      <c r="R1" s="967"/>
      <c r="S1" s="780" t="s">
        <v>1116</v>
      </c>
    </row>
    <row r="2" spans="1:19" ht="20.45" customHeight="1">
      <c r="A2" s="900"/>
      <c r="B2" s="900"/>
      <c r="C2" s="967"/>
      <c r="D2" s="967"/>
      <c r="E2" s="967"/>
      <c r="F2" s="967"/>
      <c r="G2" s="967"/>
      <c r="H2" s="967"/>
      <c r="I2" s="967"/>
      <c r="J2" s="967"/>
      <c r="K2" s="967"/>
      <c r="L2" s="967"/>
      <c r="M2" s="967"/>
      <c r="N2" s="967"/>
      <c r="O2" s="967"/>
      <c r="P2" s="967"/>
      <c r="Q2" s="967"/>
      <c r="R2" s="967"/>
      <c r="S2" s="780"/>
    </row>
    <row r="3" spans="1:19" ht="30.6" customHeight="1">
      <c r="A3" s="900"/>
      <c r="B3" s="900"/>
      <c r="C3" s="967"/>
      <c r="D3" s="967"/>
      <c r="E3" s="967"/>
      <c r="F3" s="967"/>
      <c r="G3" s="967"/>
      <c r="H3" s="967"/>
      <c r="I3" s="967"/>
      <c r="J3" s="967"/>
      <c r="K3" s="967"/>
      <c r="L3" s="967"/>
      <c r="M3" s="967"/>
      <c r="N3" s="967"/>
      <c r="O3" s="967"/>
      <c r="P3" s="967"/>
      <c r="Q3" s="967"/>
      <c r="R3" s="967"/>
      <c r="S3" s="780"/>
    </row>
    <row r="4" spans="1:19" ht="16.5">
      <c r="A4" s="329"/>
      <c r="B4" s="52"/>
      <c r="C4" s="52"/>
      <c r="D4" s="52"/>
      <c r="E4" s="52"/>
      <c r="F4" s="52"/>
      <c r="G4" s="52"/>
      <c r="H4" s="52"/>
      <c r="I4" s="52"/>
      <c r="J4" s="52"/>
      <c r="K4" s="52"/>
      <c r="L4" s="52"/>
      <c r="M4" s="52"/>
      <c r="N4" s="52"/>
      <c r="O4" s="52"/>
      <c r="P4" s="52"/>
      <c r="Q4" s="52"/>
      <c r="R4" s="52"/>
      <c r="S4" s="293"/>
    </row>
    <row r="5" spans="1:19" ht="19.149999999999999" customHeight="1">
      <c r="A5" s="292" t="s">
        <v>622</v>
      </c>
      <c r="B5" s="52"/>
      <c r="C5" s="52"/>
      <c r="D5" s="52"/>
      <c r="E5" s="52"/>
      <c r="F5" s="52"/>
      <c r="G5" s="52"/>
      <c r="H5" s="52"/>
      <c r="I5" s="52"/>
      <c r="J5" s="52"/>
      <c r="K5" s="52"/>
      <c r="L5" s="52"/>
      <c r="M5" s="52"/>
      <c r="N5" s="52"/>
      <c r="O5" s="52"/>
      <c r="P5" s="52"/>
      <c r="Q5" s="52"/>
      <c r="R5" s="52"/>
      <c r="S5" s="293"/>
    </row>
    <row r="6" spans="1:19" ht="22.9" customHeight="1">
      <c r="A6" s="294" t="s">
        <v>571</v>
      </c>
      <c r="B6" s="52"/>
      <c r="C6" s="52"/>
      <c r="D6" s="52"/>
      <c r="E6" s="52"/>
      <c r="F6" s="52"/>
      <c r="G6" s="52"/>
      <c r="H6" s="52"/>
      <c r="I6" s="52"/>
      <c r="J6" s="52"/>
      <c r="K6" s="52"/>
      <c r="L6" s="52"/>
      <c r="M6" s="52"/>
      <c r="N6" s="52"/>
      <c r="O6" s="52"/>
      <c r="P6" s="52"/>
      <c r="Q6" s="52"/>
      <c r="R6" s="52"/>
      <c r="S6" s="293"/>
    </row>
    <row r="7" spans="1:19" ht="19.5">
      <c r="A7" s="294" t="s">
        <v>492</v>
      </c>
      <c r="B7" s="52"/>
      <c r="C7" s="52"/>
      <c r="D7" s="52"/>
      <c r="E7" s="52"/>
      <c r="F7" s="52"/>
      <c r="G7" s="52"/>
      <c r="H7" s="52"/>
      <c r="I7" s="52"/>
      <c r="J7" s="52"/>
      <c r="K7" s="52"/>
      <c r="L7" s="52"/>
      <c r="M7" s="52"/>
      <c r="N7" s="52"/>
      <c r="O7" s="52"/>
      <c r="P7" s="52"/>
      <c r="Q7" s="52"/>
      <c r="R7" s="52"/>
      <c r="S7" s="293"/>
    </row>
    <row r="8" spans="1:19" ht="19.899999999999999" customHeight="1">
      <c r="A8" s="295" t="s">
        <v>493</v>
      </c>
      <c r="B8" s="52"/>
      <c r="C8" s="52"/>
      <c r="D8" s="52"/>
      <c r="E8" s="52"/>
      <c r="F8" s="52"/>
      <c r="G8" s="52"/>
      <c r="H8" s="52"/>
      <c r="I8" s="52"/>
      <c r="J8" s="52"/>
      <c r="K8" s="52"/>
      <c r="L8" s="52"/>
      <c r="M8" s="52"/>
      <c r="N8" s="52"/>
      <c r="O8" s="52"/>
      <c r="P8" s="52"/>
      <c r="Q8" s="52"/>
      <c r="R8" s="52"/>
      <c r="S8" s="293"/>
    </row>
    <row r="9" spans="1:19" ht="16.5">
      <c r="A9" s="329"/>
      <c r="B9" s="52"/>
      <c r="C9" s="52"/>
      <c r="D9" s="52"/>
      <c r="E9" s="52"/>
      <c r="F9" s="52"/>
      <c r="G9" s="330"/>
      <c r="H9" s="52"/>
      <c r="I9" s="52"/>
      <c r="J9" s="52"/>
      <c r="K9" s="52"/>
      <c r="L9" s="52"/>
      <c r="M9" s="52"/>
      <c r="N9" s="52"/>
      <c r="O9" s="52"/>
      <c r="P9" s="52"/>
      <c r="Q9" s="52"/>
      <c r="R9" s="52"/>
      <c r="S9" s="293"/>
    </row>
    <row r="10" spans="1:19" ht="68.25" customHeight="1">
      <c r="A10" s="675" t="s">
        <v>494</v>
      </c>
      <c r="B10" s="675" t="s">
        <v>623</v>
      </c>
      <c r="C10" s="863" t="s">
        <v>624</v>
      </c>
      <c r="D10" s="863"/>
      <c r="E10" s="863"/>
      <c r="F10" s="863"/>
      <c r="G10" s="863"/>
      <c r="H10" s="863"/>
      <c r="I10" s="863"/>
      <c r="J10" s="923" t="s">
        <v>625</v>
      </c>
      <c r="K10" s="924"/>
      <c r="L10" s="925"/>
      <c r="M10" s="923" t="s">
        <v>626</v>
      </c>
      <c r="N10" s="924"/>
      <c r="O10" s="925"/>
      <c r="P10" s="923" t="s">
        <v>627</v>
      </c>
      <c r="Q10" s="924"/>
      <c r="R10" s="925"/>
      <c r="S10" s="675" t="s">
        <v>505</v>
      </c>
    </row>
    <row r="11" spans="1:19" ht="51.75" customHeight="1">
      <c r="A11" s="982"/>
      <c r="B11" s="982"/>
      <c r="C11" s="96" t="s">
        <v>628</v>
      </c>
      <c r="D11" s="96" t="s">
        <v>23</v>
      </c>
      <c r="E11" s="96" t="s">
        <v>629</v>
      </c>
      <c r="F11" s="96" t="s">
        <v>630</v>
      </c>
      <c r="G11" s="96" t="s">
        <v>631</v>
      </c>
      <c r="H11" s="96" t="s">
        <v>632</v>
      </c>
      <c r="I11" s="96" t="s">
        <v>633</v>
      </c>
      <c r="J11" s="983" t="s">
        <v>628</v>
      </c>
      <c r="K11" s="983" t="s">
        <v>23</v>
      </c>
      <c r="L11" s="983" t="s">
        <v>629</v>
      </c>
      <c r="M11" s="983" t="s">
        <v>628</v>
      </c>
      <c r="N11" s="983" t="s">
        <v>23</v>
      </c>
      <c r="O11" s="983" t="s">
        <v>629</v>
      </c>
      <c r="P11" s="96" t="s">
        <v>628</v>
      </c>
      <c r="Q11" s="96" t="s">
        <v>23</v>
      </c>
      <c r="R11" s="96" t="s">
        <v>629</v>
      </c>
      <c r="S11" s="676"/>
    </row>
    <row r="12" spans="1:19" ht="36.75" customHeight="1">
      <c r="A12" s="676"/>
      <c r="B12" s="676"/>
      <c r="C12" s="309" t="s">
        <v>634</v>
      </c>
      <c r="D12" s="309" t="s">
        <v>635</v>
      </c>
      <c r="E12" s="251" t="s">
        <v>636</v>
      </c>
      <c r="F12" s="309" t="s">
        <v>637</v>
      </c>
      <c r="G12" s="309" t="s">
        <v>638</v>
      </c>
      <c r="H12" s="309" t="s">
        <v>638</v>
      </c>
      <c r="I12" s="309" t="s">
        <v>638</v>
      </c>
      <c r="J12" s="984"/>
      <c r="K12" s="984" t="s">
        <v>635</v>
      </c>
      <c r="L12" s="984" t="s">
        <v>636</v>
      </c>
      <c r="M12" s="984"/>
      <c r="N12" s="984" t="s">
        <v>635</v>
      </c>
      <c r="O12" s="984" t="s">
        <v>636</v>
      </c>
      <c r="P12" s="309" t="s">
        <v>639</v>
      </c>
      <c r="Q12" s="309" t="s">
        <v>639</v>
      </c>
      <c r="R12" s="251" t="s">
        <v>639</v>
      </c>
      <c r="S12" s="96"/>
    </row>
    <row r="13" spans="1:19" ht="48.75" customHeight="1">
      <c r="A13" s="567" t="s">
        <v>510</v>
      </c>
      <c r="B13" s="567" t="s">
        <v>511</v>
      </c>
      <c r="C13" s="567" t="s">
        <v>575</v>
      </c>
      <c r="D13" s="567" t="s">
        <v>513</v>
      </c>
      <c r="E13" s="567" t="s">
        <v>577</v>
      </c>
      <c r="F13" s="567" t="s">
        <v>515</v>
      </c>
      <c r="G13" s="567" t="s">
        <v>516</v>
      </c>
      <c r="H13" s="567" t="s">
        <v>517</v>
      </c>
      <c r="I13" s="567" t="s">
        <v>640</v>
      </c>
      <c r="J13" s="567" t="s">
        <v>641</v>
      </c>
      <c r="K13" s="567" t="s">
        <v>642</v>
      </c>
      <c r="L13" s="567" t="s">
        <v>521</v>
      </c>
      <c r="M13" s="567" t="s">
        <v>522</v>
      </c>
      <c r="N13" s="567" t="s">
        <v>643</v>
      </c>
      <c r="O13" s="567" t="s">
        <v>644</v>
      </c>
      <c r="P13" s="567" t="s">
        <v>645</v>
      </c>
      <c r="Q13" s="567" t="s">
        <v>646</v>
      </c>
      <c r="R13" s="567" t="s">
        <v>647</v>
      </c>
      <c r="S13" s="567" t="s">
        <v>648</v>
      </c>
    </row>
    <row r="14" spans="1:19" ht="30.75" customHeight="1">
      <c r="A14" s="30">
        <v>1</v>
      </c>
      <c r="B14" s="32">
        <v>810</v>
      </c>
      <c r="C14" s="177">
        <f>+B14*RIGHT($C$12,3)</f>
        <v>121.5</v>
      </c>
      <c r="D14" s="177">
        <f>+B14*RIGHT($D$12,3)</f>
        <v>243</v>
      </c>
      <c r="E14" s="177">
        <f>+B14*RIGHT($E$12,2)</f>
        <v>40.5</v>
      </c>
      <c r="F14" s="968" t="s">
        <v>649</v>
      </c>
      <c r="G14" s="969"/>
      <c r="H14" s="969"/>
      <c r="I14" s="970"/>
      <c r="J14" s="177">
        <v>2.2000000000000002</v>
      </c>
      <c r="K14" s="177">
        <v>1.375</v>
      </c>
      <c r="L14" s="177">
        <v>3.6669999999999998</v>
      </c>
      <c r="M14" s="177">
        <v>1</v>
      </c>
      <c r="N14" s="177">
        <v>1</v>
      </c>
      <c r="O14" s="177">
        <v>1</v>
      </c>
      <c r="P14" s="177">
        <f>+C14*J14*M14</f>
        <v>267.3</v>
      </c>
      <c r="Q14" s="177">
        <f t="shared" ref="Q14:R25" si="0">+D14*K14*N14</f>
        <v>334.125</v>
      </c>
      <c r="R14" s="177">
        <f t="shared" si="0"/>
        <v>148.51349999999999</v>
      </c>
      <c r="S14" s="101">
        <f>+(P14+Q14+R14)/1000</f>
        <v>0.74993849999999995</v>
      </c>
    </row>
    <row r="15" spans="1:19" ht="30.75" customHeight="1">
      <c r="A15" s="30">
        <v>2</v>
      </c>
      <c r="B15" s="32">
        <v>630</v>
      </c>
      <c r="C15" s="177">
        <f>+B15*RIGHT($C$12,3)</f>
        <v>94.5</v>
      </c>
      <c r="D15" s="177">
        <f t="shared" ref="D15:D25" si="1">+B15*RIGHT($D$12,3)</f>
        <v>189</v>
      </c>
      <c r="E15" s="177">
        <f t="shared" ref="E15:E25" si="2">+B15*RIGHT($E$12,2)</f>
        <v>31.5</v>
      </c>
      <c r="F15" s="971"/>
      <c r="G15" s="972"/>
      <c r="H15" s="972"/>
      <c r="I15" s="973"/>
      <c r="J15" s="177">
        <v>2.2000000000000002</v>
      </c>
      <c r="K15" s="177">
        <v>1.375</v>
      </c>
      <c r="L15" s="177">
        <v>3.6669999999999998</v>
      </c>
      <c r="M15" s="177">
        <v>1</v>
      </c>
      <c r="N15" s="177">
        <v>1</v>
      </c>
      <c r="O15" s="177">
        <v>1</v>
      </c>
      <c r="P15" s="177">
        <f t="shared" ref="P15:P25" si="3">+C15*J15*M15</f>
        <v>207.9</v>
      </c>
      <c r="Q15" s="177">
        <f t="shared" si="0"/>
        <v>259.875</v>
      </c>
      <c r="R15" s="177">
        <f t="shared" si="0"/>
        <v>115.51049999999999</v>
      </c>
      <c r="S15" s="101">
        <f t="shared" ref="S15:S25" si="4">+(P15+Q15+R15)/1000</f>
        <v>0.5832854999999999</v>
      </c>
    </row>
    <row r="16" spans="1:19" ht="30.75" customHeight="1">
      <c r="A16" s="30">
        <v>3</v>
      </c>
      <c r="B16" s="32">
        <v>1260</v>
      </c>
      <c r="C16" s="177">
        <f>+B16*RIGHT($C$12,3)</f>
        <v>189</v>
      </c>
      <c r="D16" s="177">
        <f t="shared" si="1"/>
        <v>378</v>
      </c>
      <c r="E16" s="177">
        <f t="shared" si="2"/>
        <v>63</v>
      </c>
      <c r="F16" s="971"/>
      <c r="G16" s="972"/>
      <c r="H16" s="972"/>
      <c r="I16" s="973"/>
      <c r="J16" s="177">
        <v>2.2000000000000002</v>
      </c>
      <c r="K16" s="177">
        <v>1.375</v>
      </c>
      <c r="L16" s="177">
        <v>3.6669999999999998</v>
      </c>
      <c r="M16" s="177">
        <v>1</v>
      </c>
      <c r="N16" s="177">
        <v>1</v>
      </c>
      <c r="O16" s="177">
        <v>1</v>
      </c>
      <c r="P16" s="177">
        <f t="shared" si="3"/>
        <v>415.8</v>
      </c>
      <c r="Q16" s="177">
        <f t="shared" si="0"/>
        <v>519.75</v>
      </c>
      <c r="R16" s="177">
        <f t="shared" si="0"/>
        <v>231.02099999999999</v>
      </c>
      <c r="S16" s="101">
        <f t="shared" si="4"/>
        <v>1.1665709999999998</v>
      </c>
    </row>
    <row r="17" spans="1:19" ht="30.75" customHeight="1">
      <c r="A17" s="30">
        <v>4</v>
      </c>
      <c r="B17" s="32">
        <v>1590</v>
      </c>
      <c r="C17" s="177">
        <f>+B17*RIGHT($C$12,3)</f>
        <v>238.5</v>
      </c>
      <c r="D17" s="177">
        <f t="shared" si="1"/>
        <v>477</v>
      </c>
      <c r="E17" s="177">
        <f t="shared" si="2"/>
        <v>79.5</v>
      </c>
      <c r="F17" s="971"/>
      <c r="G17" s="972"/>
      <c r="H17" s="972"/>
      <c r="I17" s="973"/>
      <c r="J17" s="177">
        <v>2.2000000000000002</v>
      </c>
      <c r="K17" s="177">
        <v>1.375</v>
      </c>
      <c r="L17" s="177">
        <v>3.6669999999999998</v>
      </c>
      <c r="M17" s="177">
        <v>1</v>
      </c>
      <c r="N17" s="177">
        <v>1</v>
      </c>
      <c r="O17" s="177">
        <v>1</v>
      </c>
      <c r="P17" s="177">
        <f t="shared" si="3"/>
        <v>524.70000000000005</v>
      </c>
      <c r="Q17" s="177">
        <f t="shared" si="0"/>
        <v>655.875</v>
      </c>
      <c r="R17" s="177">
        <f t="shared" si="0"/>
        <v>291.5265</v>
      </c>
      <c r="S17" s="101">
        <f t="shared" si="4"/>
        <v>1.4721015</v>
      </c>
    </row>
    <row r="18" spans="1:19" ht="30.75" customHeight="1">
      <c r="A18" s="30">
        <v>5</v>
      </c>
      <c r="B18" s="32">
        <v>2100</v>
      </c>
      <c r="C18" s="177">
        <f>+B18*RIGHT($C$12,3)</f>
        <v>315</v>
      </c>
      <c r="D18" s="177">
        <f t="shared" si="1"/>
        <v>630</v>
      </c>
      <c r="E18" s="177">
        <f t="shared" si="2"/>
        <v>105</v>
      </c>
      <c r="F18" s="971"/>
      <c r="G18" s="972"/>
      <c r="H18" s="972"/>
      <c r="I18" s="973"/>
      <c r="J18" s="177">
        <v>2.2000000000000002</v>
      </c>
      <c r="K18" s="177">
        <v>1.375</v>
      </c>
      <c r="L18" s="177">
        <v>3.6669999999999998</v>
      </c>
      <c r="M18" s="177">
        <v>1</v>
      </c>
      <c r="N18" s="177">
        <v>1</v>
      </c>
      <c r="O18" s="177">
        <v>1</v>
      </c>
      <c r="P18" s="177">
        <f t="shared" si="3"/>
        <v>693</v>
      </c>
      <c r="Q18" s="177">
        <f t="shared" si="0"/>
        <v>866.25</v>
      </c>
      <c r="R18" s="177">
        <f t="shared" si="0"/>
        <v>385.03499999999997</v>
      </c>
      <c r="S18" s="101">
        <f t="shared" si="4"/>
        <v>1.9442849999999998</v>
      </c>
    </row>
    <row r="19" spans="1:19" ht="30.75" customHeight="1">
      <c r="A19" s="30">
        <v>6</v>
      </c>
      <c r="B19" s="32">
        <v>120</v>
      </c>
      <c r="C19" s="177">
        <f t="shared" ref="C19:C25" si="5">+B19*RIGHT($C$12,3)</f>
        <v>18</v>
      </c>
      <c r="D19" s="177">
        <f t="shared" si="1"/>
        <v>36</v>
      </c>
      <c r="E19" s="177">
        <f t="shared" si="2"/>
        <v>6</v>
      </c>
      <c r="F19" s="971"/>
      <c r="G19" s="972"/>
      <c r="H19" s="972"/>
      <c r="I19" s="973"/>
      <c r="J19" s="177">
        <v>2.2000000000000002</v>
      </c>
      <c r="K19" s="177">
        <v>1.375</v>
      </c>
      <c r="L19" s="177">
        <v>3.6669999999999998</v>
      </c>
      <c r="M19" s="177">
        <v>1</v>
      </c>
      <c r="N19" s="177">
        <v>1</v>
      </c>
      <c r="O19" s="177">
        <v>1</v>
      </c>
      <c r="P19" s="177">
        <f t="shared" si="3"/>
        <v>39.6</v>
      </c>
      <c r="Q19" s="177">
        <f t="shared" si="0"/>
        <v>49.5</v>
      </c>
      <c r="R19" s="177">
        <f t="shared" si="0"/>
        <v>22.001999999999999</v>
      </c>
      <c r="S19" s="101">
        <f t="shared" si="4"/>
        <v>0.11110199999999999</v>
      </c>
    </row>
    <row r="20" spans="1:19" ht="30.75" customHeight="1">
      <c r="A20" s="30">
        <v>7</v>
      </c>
      <c r="B20" s="32">
        <v>0</v>
      </c>
      <c r="C20" s="177">
        <f t="shared" si="5"/>
        <v>0</v>
      </c>
      <c r="D20" s="177">
        <f t="shared" si="1"/>
        <v>0</v>
      </c>
      <c r="E20" s="177">
        <f t="shared" si="2"/>
        <v>0</v>
      </c>
      <c r="F20" s="971"/>
      <c r="G20" s="972"/>
      <c r="H20" s="972"/>
      <c r="I20" s="973"/>
      <c r="J20" s="177">
        <v>2.2000000000000002</v>
      </c>
      <c r="K20" s="177">
        <v>1.375</v>
      </c>
      <c r="L20" s="177">
        <v>3.6669999999999998</v>
      </c>
      <c r="M20" s="177">
        <v>1</v>
      </c>
      <c r="N20" s="177">
        <v>1</v>
      </c>
      <c r="O20" s="177">
        <v>1</v>
      </c>
      <c r="P20" s="177">
        <f t="shared" si="3"/>
        <v>0</v>
      </c>
      <c r="Q20" s="177">
        <f t="shared" si="0"/>
        <v>0</v>
      </c>
      <c r="R20" s="177">
        <f t="shared" si="0"/>
        <v>0</v>
      </c>
      <c r="S20" s="101">
        <f t="shared" si="4"/>
        <v>0</v>
      </c>
    </row>
    <row r="21" spans="1:19" ht="30.75" customHeight="1">
      <c r="A21" s="30">
        <v>8</v>
      </c>
      <c r="B21" s="32">
        <v>0</v>
      </c>
      <c r="C21" s="177">
        <f t="shared" si="5"/>
        <v>0</v>
      </c>
      <c r="D21" s="177">
        <f t="shared" si="1"/>
        <v>0</v>
      </c>
      <c r="E21" s="177">
        <f t="shared" si="2"/>
        <v>0</v>
      </c>
      <c r="F21" s="971"/>
      <c r="G21" s="972"/>
      <c r="H21" s="972"/>
      <c r="I21" s="973"/>
      <c r="J21" s="177">
        <v>2.2000000000000002</v>
      </c>
      <c r="K21" s="177">
        <v>1.375</v>
      </c>
      <c r="L21" s="177">
        <v>3.6669999999999998</v>
      </c>
      <c r="M21" s="177">
        <v>1</v>
      </c>
      <c r="N21" s="177">
        <v>1</v>
      </c>
      <c r="O21" s="177">
        <v>1</v>
      </c>
      <c r="P21" s="177">
        <f t="shared" si="3"/>
        <v>0</v>
      </c>
      <c r="Q21" s="177">
        <f t="shared" si="0"/>
        <v>0</v>
      </c>
      <c r="R21" s="177">
        <f t="shared" si="0"/>
        <v>0</v>
      </c>
      <c r="S21" s="101">
        <f t="shared" si="4"/>
        <v>0</v>
      </c>
    </row>
    <row r="22" spans="1:19" ht="30.75" customHeight="1">
      <c r="A22" s="30">
        <v>9</v>
      </c>
      <c r="B22" s="32">
        <v>0</v>
      </c>
      <c r="C22" s="177">
        <f t="shared" si="5"/>
        <v>0</v>
      </c>
      <c r="D22" s="177">
        <f t="shared" si="1"/>
        <v>0</v>
      </c>
      <c r="E22" s="177">
        <f t="shared" si="2"/>
        <v>0</v>
      </c>
      <c r="F22" s="971"/>
      <c r="G22" s="972"/>
      <c r="H22" s="972"/>
      <c r="I22" s="973"/>
      <c r="J22" s="177">
        <v>2.2000000000000002</v>
      </c>
      <c r="K22" s="177">
        <v>1.375</v>
      </c>
      <c r="L22" s="177">
        <v>3.6669999999999998</v>
      </c>
      <c r="M22" s="177">
        <v>1</v>
      </c>
      <c r="N22" s="177">
        <v>1</v>
      </c>
      <c r="O22" s="177">
        <v>1</v>
      </c>
      <c r="P22" s="177">
        <f t="shared" si="3"/>
        <v>0</v>
      </c>
      <c r="Q22" s="177">
        <f t="shared" si="0"/>
        <v>0</v>
      </c>
      <c r="R22" s="177">
        <f t="shared" si="0"/>
        <v>0</v>
      </c>
      <c r="S22" s="101">
        <f t="shared" si="4"/>
        <v>0</v>
      </c>
    </row>
    <row r="23" spans="1:19" ht="30.75" customHeight="1">
      <c r="A23" s="30">
        <v>10</v>
      </c>
      <c r="B23" s="32">
        <v>0</v>
      </c>
      <c r="C23" s="177">
        <f t="shared" si="5"/>
        <v>0</v>
      </c>
      <c r="D23" s="177">
        <f t="shared" si="1"/>
        <v>0</v>
      </c>
      <c r="E23" s="177">
        <f t="shared" si="2"/>
        <v>0</v>
      </c>
      <c r="F23" s="971"/>
      <c r="G23" s="972"/>
      <c r="H23" s="972"/>
      <c r="I23" s="973"/>
      <c r="J23" s="177">
        <v>2.2000000000000002</v>
      </c>
      <c r="K23" s="177">
        <v>1.375</v>
      </c>
      <c r="L23" s="177">
        <v>3.6669999999999998</v>
      </c>
      <c r="M23" s="177">
        <v>1</v>
      </c>
      <c r="N23" s="177">
        <v>1</v>
      </c>
      <c r="O23" s="177">
        <v>1</v>
      </c>
      <c r="P23" s="177">
        <f t="shared" si="3"/>
        <v>0</v>
      </c>
      <c r="Q23" s="177">
        <f t="shared" si="0"/>
        <v>0</v>
      </c>
      <c r="R23" s="177">
        <f t="shared" si="0"/>
        <v>0</v>
      </c>
      <c r="S23" s="101">
        <f t="shared" si="4"/>
        <v>0</v>
      </c>
    </row>
    <row r="24" spans="1:19" ht="30.75" customHeight="1">
      <c r="A24" s="30">
        <v>11</v>
      </c>
      <c r="B24" s="32">
        <v>0</v>
      </c>
      <c r="C24" s="177">
        <f t="shared" si="5"/>
        <v>0</v>
      </c>
      <c r="D24" s="177">
        <f t="shared" si="1"/>
        <v>0</v>
      </c>
      <c r="E24" s="177">
        <f t="shared" si="2"/>
        <v>0</v>
      </c>
      <c r="F24" s="971"/>
      <c r="G24" s="972"/>
      <c r="H24" s="972"/>
      <c r="I24" s="973"/>
      <c r="J24" s="177">
        <v>2.2000000000000002</v>
      </c>
      <c r="K24" s="177">
        <v>1.375</v>
      </c>
      <c r="L24" s="177">
        <v>3.6669999999999998</v>
      </c>
      <c r="M24" s="177">
        <v>1</v>
      </c>
      <c r="N24" s="177">
        <v>1</v>
      </c>
      <c r="O24" s="177">
        <v>1</v>
      </c>
      <c r="P24" s="177">
        <f t="shared" si="3"/>
        <v>0</v>
      </c>
      <c r="Q24" s="177">
        <f t="shared" si="0"/>
        <v>0</v>
      </c>
      <c r="R24" s="177">
        <f t="shared" si="0"/>
        <v>0</v>
      </c>
      <c r="S24" s="101">
        <f t="shared" si="4"/>
        <v>0</v>
      </c>
    </row>
    <row r="25" spans="1:19" ht="30.75" customHeight="1">
      <c r="A25" s="30">
        <v>12</v>
      </c>
      <c r="B25" s="32">
        <v>0</v>
      </c>
      <c r="C25" s="177">
        <f t="shared" si="5"/>
        <v>0</v>
      </c>
      <c r="D25" s="177">
        <f t="shared" si="1"/>
        <v>0</v>
      </c>
      <c r="E25" s="177">
        <f t="shared" si="2"/>
        <v>0</v>
      </c>
      <c r="F25" s="974"/>
      <c r="G25" s="975"/>
      <c r="H25" s="975"/>
      <c r="I25" s="976"/>
      <c r="J25" s="177">
        <v>2.2000000000000002</v>
      </c>
      <c r="K25" s="177">
        <v>1.375</v>
      </c>
      <c r="L25" s="177">
        <v>3.6669999999999998</v>
      </c>
      <c r="M25" s="177">
        <v>1</v>
      </c>
      <c r="N25" s="177">
        <v>1</v>
      </c>
      <c r="O25" s="177">
        <v>1</v>
      </c>
      <c r="P25" s="177">
        <f t="shared" si="3"/>
        <v>0</v>
      </c>
      <c r="Q25" s="177">
        <f t="shared" si="0"/>
        <v>0</v>
      </c>
      <c r="R25" s="177">
        <f t="shared" si="0"/>
        <v>0</v>
      </c>
      <c r="S25" s="101">
        <f t="shared" si="4"/>
        <v>0</v>
      </c>
    </row>
    <row r="26" spans="1:19" ht="30.75" customHeight="1">
      <c r="A26" s="102" t="s">
        <v>469</v>
      </c>
      <c r="B26" s="103">
        <f>SUM(B14:B25)</f>
        <v>6510</v>
      </c>
      <c r="C26" s="310"/>
      <c r="D26" s="310"/>
      <c r="E26" s="310"/>
      <c r="F26" s="310"/>
      <c r="G26" s="310"/>
      <c r="H26" s="310"/>
      <c r="I26" s="310"/>
      <c r="J26" s="310"/>
      <c r="K26" s="310"/>
      <c r="L26" s="310"/>
      <c r="M26" s="310"/>
      <c r="N26" s="310"/>
      <c r="O26" s="310"/>
      <c r="P26" s="106">
        <f>SUM(P14:P25)</f>
        <v>2148.2999999999997</v>
      </c>
      <c r="Q26" s="106">
        <f>SUM(Q14:Q25)</f>
        <v>2685.375</v>
      </c>
      <c r="R26" s="106">
        <f>SUM(R14:R25)</f>
        <v>1193.6084999999998</v>
      </c>
      <c r="S26" s="106">
        <f>SUM(S14:S25)</f>
        <v>6.0272834999999993</v>
      </c>
    </row>
    <row r="27" spans="1:19" ht="16.5">
      <c r="A27" s="23"/>
      <c r="B27" s="23"/>
      <c r="C27" s="23"/>
      <c r="D27" s="23"/>
      <c r="E27" s="23"/>
      <c r="F27" s="23"/>
      <c r="G27" s="23"/>
      <c r="H27" s="23"/>
      <c r="I27" s="23"/>
      <c r="J27" s="23"/>
      <c r="K27" s="23"/>
      <c r="L27" s="23"/>
      <c r="M27" s="23"/>
      <c r="N27" s="23"/>
      <c r="O27" s="23"/>
      <c r="P27" s="23"/>
      <c r="Q27" s="23"/>
      <c r="R27" s="23"/>
      <c r="S27" s="23"/>
    </row>
    <row r="28" spans="1:19" ht="16.5">
      <c r="A28" s="23"/>
      <c r="B28" s="23"/>
      <c r="C28" s="23"/>
      <c r="D28" s="23"/>
      <c r="E28" s="23"/>
      <c r="F28" s="23"/>
      <c r="G28" s="23"/>
      <c r="H28" s="23"/>
      <c r="I28" s="23"/>
      <c r="J28" s="23"/>
      <c r="K28" s="23"/>
      <c r="L28" s="23"/>
      <c r="M28" s="23"/>
      <c r="N28" s="23"/>
      <c r="O28" s="23"/>
      <c r="P28" s="23"/>
      <c r="Q28" s="23"/>
      <c r="R28" s="23"/>
      <c r="S28" s="23"/>
    </row>
    <row r="29" spans="1:19" ht="18.600000000000001" customHeight="1">
      <c r="A29" s="682" t="s">
        <v>524</v>
      </c>
      <c r="B29" s="683"/>
      <c r="C29" s="683"/>
      <c r="D29" s="683"/>
      <c r="E29" s="683"/>
      <c r="F29" s="683"/>
      <c r="G29" s="683"/>
      <c r="H29" s="683"/>
      <c r="I29" s="683"/>
      <c r="J29" s="683"/>
      <c r="K29" s="683"/>
      <c r="L29" s="683"/>
      <c r="M29" s="683"/>
      <c r="N29" s="683"/>
      <c r="O29" s="683"/>
      <c r="P29" s="683"/>
      <c r="Q29" s="683"/>
      <c r="R29" s="683"/>
      <c r="S29" s="684"/>
    </row>
    <row r="30" spans="1:19" ht="19.149999999999999" customHeight="1">
      <c r="A30" s="979" t="s">
        <v>650</v>
      </c>
      <c r="B30" s="964"/>
      <c r="C30" s="964"/>
      <c r="D30" s="964"/>
      <c r="E30" s="964"/>
      <c r="F30" s="964"/>
      <c r="G30" s="964"/>
      <c r="H30" s="964"/>
      <c r="I30" s="964"/>
      <c r="J30" s="964"/>
      <c r="K30" s="964"/>
      <c r="L30" s="964"/>
      <c r="M30" s="964"/>
      <c r="N30" s="964"/>
      <c r="O30" s="964"/>
      <c r="P30" s="964"/>
      <c r="Q30" s="964"/>
      <c r="R30" s="964"/>
      <c r="S30" s="980"/>
    </row>
    <row r="31" spans="1:19" ht="19.149999999999999" customHeight="1">
      <c r="A31" s="979" t="s">
        <v>651</v>
      </c>
      <c r="B31" s="964"/>
      <c r="C31" s="964"/>
      <c r="D31" s="964"/>
      <c r="E31" s="964"/>
      <c r="F31" s="964"/>
      <c r="G31" s="964"/>
      <c r="H31" s="964"/>
      <c r="I31" s="964"/>
      <c r="J31" s="964"/>
      <c r="K31" s="964"/>
      <c r="L31" s="964"/>
      <c r="M31" s="964"/>
      <c r="N31" s="964"/>
      <c r="O31" s="964"/>
      <c r="P31" s="964"/>
      <c r="Q31" s="964"/>
      <c r="R31" s="964"/>
      <c r="S31" s="980"/>
    </row>
    <row r="32" spans="1:19" ht="19.149999999999999" customHeight="1">
      <c r="A32" s="979" t="s">
        <v>652</v>
      </c>
      <c r="B32" s="964"/>
      <c r="C32" s="964"/>
      <c r="D32" s="964"/>
      <c r="E32" s="964"/>
      <c r="F32" s="964"/>
      <c r="G32" s="964"/>
      <c r="H32" s="964"/>
      <c r="I32" s="964"/>
      <c r="J32" s="964"/>
      <c r="K32" s="964"/>
      <c r="L32" s="964"/>
      <c r="M32" s="964"/>
      <c r="N32" s="964"/>
      <c r="O32" s="964"/>
      <c r="P32" s="964"/>
      <c r="Q32" s="964"/>
      <c r="R32" s="964"/>
      <c r="S32" s="980"/>
    </row>
    <row r="33" spans="1:19" ht="19.149999999999999" customHeight="1">
      <c r="A33" s="979" t="s">
        <v>653</v>
      </c>
      <c r="B33" s="964"/>
      <c r="C33" s="964"/>
      <c r="D33" s="964"/>
      <c r="E33" s="964"/>
      <c r="F33" s="964"/>
      <c r="G33" s="964"/>
      <c r="H33" s="964"/>
      <c r="I33" s="964"/>
      <c r="J33" s="964"/>
      <c r="K33" s="964"/>
      <c r="L33" s="964"/>
      <c r="M33" s="964"/>
      <c r="N33" s="964"/>
      <c r="O33" s="964"/>
      <c r="P33" s="964"/>
      <c r="Q33" s="964"/>
      <c r="R33" s="964"/>
      <c r="S33" s="980"/>
    </row>
    <row r="34" spans="1:19" ht="19.149999999999999" customHeight="1">
      <c r="A34" s="979" t="s">
        <v>654</v>
      </c>
      <c r="B34" s="964"/>
      <c r="C34" s="964"/>
      <c r="D34" s="964"/>
      <c r="E34" s="964"/>
      <c r="F34" s="964"/>
      <c r="G34" s="964"/>
      <c r="H34" s="964"/>
      <c r="I34" s="964"/>
      <c r="J34" s="964"/>
      <c r="K34" s="964"/>
      <c r="L34" s="964"/>
      <c r="M34" s="964"/>
      <c r="N34" s="964"/>
      <c r="O34" s="964"/>
      <c r="P34" s="964"/>
      <c r="Q34" s="964"/>
      <c r="R34" s="964"/>
      <c r="S34" s="980"/>
    </row>
    <row r="35" spans="1:19" ht="19.149999999999999" customHeight="1">
      <c r="A35" s="979" t="s">
        <v>655</v>
      </c>
      <c r="B35" s="964"/>
      <c r="C35" s="964"/>
      <c r="D35" s="964"/>
      <c r="E35" s="964"/>
      <c r="F35" s="964"/>
      <c r="G35" s="964"/>
      <c r="H35" s="964"/>
      <c r="I35" s="964"/>
      <c r="J35" s="964"/>
      <c r="K35" s="964"/>
      <c r="L35" s="964"/>
      <c r="M35" s="964"/>
      <c r="N35" s="964"/>
      <c r="O35" s="964"/>
      <c r="P35" s="964"/>
      <c r="Q35" s="964"/>
      <c r="R35" s="964"/>
      <c r="S35" s="980"/>
    </row>
    <row r="36" spans="1:19" ht="19.149999999999999" customHeight="1">
      <c r="A36" s="979" t="s">
        <v>656</v>
      </c>
      <c r="B36" s="964"/>
      <c r="C36" s="964"/>
      <c r="D36" s="964"/>
      <c r="E36" s="964"/>
      <c r="F36" s="964"/>
      <c r="G36" s="964"/>
      <c r="H36" s="964"/>
      <c r="I36" s="964"/>
      <c r="J36" s="964"/>
      <c r="K36" s="964"/>
      <c r="L36" s="964"/>
      <c r="M36" s="964"/>
      <c r="N36" s="964"/>
      <c r="O36" s="964"/>
      <c r="P36" s="964"/>
      <c r="Q36" s="964"/>
      <c r="R36" s="964"/>
      <c r="S36" s="980"/>
    </row>
    <row r="37" spans="1:19" ht="19.149999999999999" customHeight="1">
      <c r="A37" s="979" t="s">
        <v>657</v>
      </c>
      <c r="B37" s="964"/>
      <c r="C37" s="964"/>
      <c r="D37" s="964"/>
      <c r="E37" s="964"/>
      <c r="F37" s="964"/>
      <c r="G37" s="964"/>
      <c r="H37" s="964"/>
      <c r="I37" s="964"/>
      <c r="J37" s="964"/>
      <c r="K37" s="964"/>
      <c r="L37" s="964"/>
      <c r="M37" s="964"/>
      <c r="N37" s="964"/>
      <c r="O37" s="964"/>
      <c r="P37" s="964"/>
      <c r="Q37" s="964"/>
      <c r="R37" s="964"/>
      <c r="S37" s="980"/>
    </row>
    <row r="38" spans="1:19" ht="19.149999999999999" customHeight="1">
      <c r="A38" s="979" t="s">
        <v>658</v>
      </c>
      <c r="B38" s="964"/>
      <c r="C38" s="964"/>
      <c r="D38" s="964"/>
      <c r="E38" s="964"/>
      <c r="F38" s="964"/>
      <c r="G38" s="964"/>
      <c r="H38" s="964"/>
      <c r="I38" s="964"/>
      <c r="J38" s="964"/>
      <c r="K38" s="964"/>
      <c r="L38" s="964"/>
      <c r="M38" s="964"/>
      <c r="N38" s="964"/>
      <c r="O38" s="964"/>
      <c r="P38" s="964"/>
      <c r="Q38" s="964"/>
      <c r="R38" s="964"/>
      <c r="S38" s="980"/>
    </row>
    <row r="39" spans="1:19" ht="19.149999999999999" customHeight="1">
      <c r="A39" s="979" t="s">
        <v>659</v>
      </c>
      <c r="B39" s="964"/>
      <c r="C39" s="964"/>
      <c r="D39" s="964"/>
      <c r="E39" s="964"/>
      <c r="F39" s="964"/>
      <c r="G39" s="964"/>
      <c r="H39" s="964"/>
      <c r="I39" s="964"/>
      <c r="J39" s="964"/>
      <c r="K39" s="964"/>
      <c r="L39" s="964"/>
      <c r="M39" s="964"/>
      <c r="N39" s="964"/>
      <c r="O39" s="964"/>
      <c r="P39" s="964"/>
      <c r="Q39" s="964"/>
      <c r="R39" s="964"/>
      <c r="S39" s="980"/>
    </row>
    <row r="40" spans="1:19" ht="19.149999999999999" customHeight="1">
      <c r="A40" s="979" t="s">
        <v>660</v>
      </c>
      <c r="B40" s="964"/>
      <c r="C40" s="964"/>
      <c r="D40" s="964"/>
      <c r="E40" s="964"/>
      <c r="F40" s="964"/>
      <c r="G40" s="964"/>
      <c r="H40" s="964"/>
      <c r="I40" s="964"/>
      <c r="J40" s="964"/>
      <c r="K40" s="964"/>
      <c r="L40" s="964"/>
      <c r="M40" s="964"/>
      <c r="N40" s="964"/>
      <c r="O40" s="964"/>
      <c r="P40" s="964"/>
      <c r="Q40" s="964"/>
      <c r="R40" s="964"/>
      <c r="S40" s="980"/>
    </row>
    <row r="41" spans="1:19" ht="19.149999999999999" customHeight="1">
      <c r="A41" s="979" t="s">
        <v>661</v>
      </c>
      <c r="B41" s="964"/>
      <c r="C41" s="964"/>
      <c r="D41" s="964"/>
      <c r="E41" s="964"/>
      <c r="F41" s="964"/>
      <c r="G41" s="964"/>
      <c r="H41" s="964"/>
      <c r="I41" s="964"/>
      <c r="J41" s="964"/>
      <c r="K41" s="964"/>
      <c r="L41" s="964"/>
      <c r="M41" s="964"/>
      <c r="N41" s="964"/>
      <c r="O41" s="964"/>
      <c r="P41" s="964"/>
      <c r="Q41" s="964"/>
      <c r="R41" s="964"/>
      <c r="S41" s="980"/>
    </row>
    <row r="42" spans="1:19" ht="23.45" customHeight="1">
      <c r="A42" s="981" t="s">
        <v>585</v>
      </c>
      <c r="B42" s="981"/>
      <c r="C42" s="981"/>
      <c r="D42" s="899" t="s">
        <v>526</v>
      </c>
      <c r="E42" s="899"/>
      <c r="F42" s="899"/>
      <c r="G42" s="899" t="s">
        <v>586</v>
      </c>
      <c r="H42" s="899"/>
      <c r="I42" s="899"/>
      <c r="J42" s="899"/>
      <c r="K42" s="899"/>
      <c r="L42" s="899"/>
      <c r="M42" s="899"/>
      <c r="N42" s="899"/>
      <c r="O42" s="899"/>
      <c r="P42" s="899"/>
      <c r="Q42" s="899"/>
      <c r="R42" s="899"/>
      <c r="S42" s="899"/>
    </row>
    <row r="43" spans="1:19" ht="23.45" customHeight="1">
      <c r="A43" s="895" t="s">
        <v>587</v>
      </c>
      <c r="B43" s="895"/>
      <c r="C43" s="895"/>
      <c r="D43" s="977">
        <v>12</v>
      </c>
      <c r="E43" s="977"/>
      <c r="F43" s="977"/>
      <c r="G43" s="731"/>
      <c r="H43" s="731"/>
      <c r="I43" s="731"/>
      <c r="J43" s="731"/>
      <c r="K43" s="731"/>
      <c r="L43" s="731"/>
      <c r="M43" s="731"/>
      <c r="N43" s="731"/>
      <c r="O43" s="731"/>
      <c r="P43" s="731"/>
      <c r="Q43" s="731"/>
      <c r="R43" s="731"/>
      <c r="S43" s="731"/>
    </row>
    <row r="44" spans="1:19" ht="23.45" customHeight="1">
      <c r="A44" s="895" t="s">
        <v>588</v>
      </c>
      <c r="B44" s="895"/>
      <c r="C44" s="895"/>
      <c r="D44" s="977">
        <v>16</v>
      </c>
      <c r="E44" s="977"/>
      <c r="F44" s="977"/>
      <c r="G44" s="731"/>
      <c r="H44" s="731"/>
      <c r="I44" s="731"/>
      <c r="J44" s="731"/>
      <c r="K44" s="731"/>
      <c r="L44" s="731"/>
      <c r="M44" s="731"/>
      <c r="N44" s="731"/>
      <c r="O44" s="731"/>
      <c r="P44" s="731"/>
      <c r="Q44" s="731"/>
      <c r="R44" s="731"/>
      <c r="S44" s="731"/>
    </row>
    <row r="45" spans="1:19" ht="23.45" customHeight="1">
      <c r="A45" s="895" t="s">
        <v>662</v>
      </c>
      <c r="B45" s="895"/>
      <c r="C45" s="895"/>
      <c r="D45" s="977">
        <v>1</v>
      </c>
      <c r="E45" s="977"/>
      <c r="F45" s="977"/>
      <c r="G45" s="731"/>
      <c r="H45" s="731"/>
      <c r="I45" s="731"/>
      <c r="J45" s="731"/>
      <c r="K45" s="731"/>
      <c r="L45" s="731"/>
      <c r="M45" s="731"/>
      <c r="N45" s="731"/>
      <c r="O45" s="731"/>
      <c r="P45" s="731"/>
      <c r="Q45" s="731"/>
      <c r="R45" s="731"/>
      <c r="S45" s="731"/>
    </row>
    <row r="47" spans="1:19">
      <c r="A47" s="978"/>
      <c r="B47" s="978"/>
      <c r="C47" s="978"/>
      <c r="D47" s="331"/>
      <c r="E47" s="331"/>
    </row>
    <row r="48" spans="1:19">
      <c r="A48" s="978"/>
      <c r="B48" s="978"/>
      <c r="C48" s="978"/>
      <c r="D48" s="331"/>
      <c r="E48" s="331"/>
      <c r="F48" s="331"/>
      <c r="K48" s="331"/>
      <c r="L48" s="331"/>
      <c r="N48" s="331"/>
      <c r="O48" s="331"/>
      <c r="Q48" s="331"/>
      <c r="R48" s="331"/>
    </row>
  </sheetData>
  <mergeCells count="44">
    <mergeCell ref="A29:S29"/>
    <mergeCell ref="A10:A12"/>
    <mergeCell ref="B10:B12"/>
    <mergeCell ref="J11:J12"/>
    <mergeCell ref="K11:K12"/>
    <mergeCell ref="L11:L12"/>
    <mergeCell ref="M11:M12"/>
    <mergeCell ref="N11:N12"/>
    <mergeCell ref="O11:O12"/>
    <mergeCell ref="A30:S30"/>
    <mergeCell ref="A31:S31"/>
    <mergeCell ref="A32:S32"/>
    <mergeCell ref="A33:S33"/>
    <mergeCell ref="A34:S34"/>
    <mergeCell ref="A35:S35"/>
    <mergeCell ref="A36:S36"/>
    <mergeCell ref="A37:S37"/>
    <mergeCell ref="A38:S38"/>
    <mergeCell ref="A39:S39"/>
    <mergeCell ref="A40:S40"/>
    <mergeCell ref="A41:S41"/>
    <mergeCell ref="A42:C42"/>
    <mergeCell ref="D42:F42"/>
    <mergeCell ref="G42:S42"/>
    <mergeCell ref="A43:C43"/>
    <mergeCell ref="D43:F43"/>
    <mergeCell ref="G43:S43"/>
    <mergeCell ref="A44:C44"/>
    <mergeCell ref="D44:F44"/>
    <mergeCell ref="G44:S44"/>
    <mergeCell ref="A45:C45"/>
    <mergeCell ref="D45:F45"/>
    <mergeCell ref="G45:S45"/>
    <mergeCell ref="A47:C47"/>
    <mergeCell ref="A48:C48"/>
    <mergeCell ref="S1:S3"/>
    <mergeCell ref="S10:S11"/>
    <mergeCell ref="A1:B3"/>
    <mergeCell ref="C1:R3"/>
    <mergeCell ref="F14:I25"/>
    <mergeCell ref="C10:I10"/>
    <mergeCell ref="J10:L10"/>
    <mergeCell ref="M10:O10"/>
    <mergeCell ref="P10:R10"/>
  </mergeCells>
  <pageMargins left="0.98425196850393704" right="0.59055118110236204" top="0.78740157480314998" bottom="0.78740157480314998" header="0.31496062992126" footer="0.31496062992126"/>
  <pageSetup scale="42"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2060"/>
    <pageSetUpPr fitToPage="1"/>
  </sheetPr>
  <dimension ref="A1:S48"/>
  <sheetViews>
    <sheetView topLeftCell="B1" zoomScale="85" zoomScaleNormal="85" workbookViewId="0">
      <selection activeCell="Q1" sqref="Q1:Q3"/>
    </sheetView>
  </sheetViews>
  <sheetFormatPr defaultColWidth="9.28515625" defaultRowHeight="15"/>
  <cols>
    <col min="1" max="1" width="10.28515625" style="312" customWidth="1"/>
    <col min="2" max="2" width="18.42578125" style="312" customWidth="1"/>
    <col min="3" max="3" width="13.28515625" style="312" customWidth="1"/>
    <col min="4" max="4" width="11" style="312" customWidth="1"/>
    <col min="5" max="5" width="10.5703125" style="312" customWidth="1"/>
    <col min="6" max="6" width="10.85546875" style="312" customWidth="1"/>
    <col min="7" max="7" width="15.140625" style="312" customWidth="1"/>
    <col min="8" max="8" width="13.7109375" style="312" customWidth="1"/>
    <col min="9" max="9" width="11" style="312" customWidth="1"/>
    <col min="10" max="10" width="9.28515625" style="312" customWidth="1"/>
    <col min="11" max="11" width="13.28515625" style="312" customWidth="1"/>
    <col min="12" max="12" width="11" style="312" customWidth="1"/>
    <col min="13" max="13" width="9.28515625" style="312" customWidth="1"/>
    <col min="14" max="14" width="12.7109375" style="312" customWidth="1"/>
    <col min="15" max="15" width="17.28515625" style="312" customWidth="1"/>
    <col min="16" max="16" width="14.140625" style="312" customWidth="1"/>
    <col min="17" max="17" width="23.140625" style="312" customWidth="1"/>
    <col min="18" max="18" width="22.140625" style="312" customWidth="1"/>
    <col min="19" max="19" width="20.7109375" style="312" customWidth="1"/>
    <col min="20" max="16384" width="9.28515625" style="312"/>
  </cols>
  <sheetData>
    <row r="1" spans="1:19" ht="25.9" customHeight="1">
      <c r="A1" s="900"/>
      <c r="B1" s="900"/>
      <c r="C1" s="780" t="s">
        <v>663</v>
      </c>
      <c r="D1" s="780"/>
      <c r="E1" s="780"/>
      <c r="F1" s="780"/>
      <c r="G1" s="780"/>
      <c r="H1" s="780"/>
      <c r="I1" s="780"/>
      <c r="J1" s="780"/>
      <c r="K1" s="780"/>
      <c r="L1" s="780"/>
      <c r="M1" s="780"/>
      <c r="N1" s="780"/>
      <c r="O1" s="780"/>
      <c r="P1" s="780"/>
      <c r="Q1" s="780" t="s">
        <v>1116</v>
      </c>
    </row>
    <row r="2" spans="1:19" ht="53.45" customHeight="1">
      <c r="A2" s="900"/>
      <c r="B2" s="900"/>
      <c r="C2" s="780"/>
      <c r="D2" s="780"/>
      <c r="E2" s="780"/>
      <c r="F2" s="780"/>
      <c r="G2" s="780"/>
      <c r="H2" s="780"/>
      <c r="I2" s="780"/>
      <c r="J2" s="780"/>
      <c r="K2" s="780"/>
      <c r="L2" s="780"/>
      <c r="M2" s="780"/>
      <c r="N2" s="780"/>
      <c r="O2" s="780"/>
      <c r="P2" s="780"/>
      <c r="Q2" s="780"/>
    </row>
    <row r="3" spans="1:19" ht="30.6" customHeight="1">
      <c r="A3" s="900"/>
      <c r="B3" s="900"/>
      <c r="C3" s="780"/>
      <c r="D3" s="780"/>
      <c r="E3" s="780"/>
      <c r="F3" s="780"/>
      <c r="G3" s="780"/>
      <c r="H3" s="780"/>
      <c r="I3" s="780"/>
      <c r="J3" s="780"/>
      <c r="K3" s="780"/>
      <c r="L3" s="780"/>
      <c r="M3" s="780"/>
      <c r="N3" s="780"/>
      <c r="O3" s="780"/>
      <c r="P3" s="780"/>
      <c r="Q3" s="780"/>
    </row>
    <row r="4" spans="1:19">
      <c r="A4" s="313"/>
      <c r="Q4" s="325"/>
    </row>
    <row r="5" spans="1:19" ht="19.149999999999999" customHeight="1">
      <c r="A5" s="314" t="s">
        <v>664</v>
      </c>
      <c r="B5" s="23"/>
      <c r="C5" s="23"/>
      <c r="D5" s="23"/>
      <c r="E5" s="23"/>
      <c r="F5" s="23"/>
      <c r="H5" s="23"/>
      <c r="I5" s="23"/>
      <c r="J5" s="23"/>
      <c r="K5" s="23"/>
      <c r="L5" s="23"/>
      <c r="M5" s="23"/>
      <c r="N5" s="23"/>
      <c r="O5" s="23"/>
      <c r="P5" s="23"/>
      <c r="Q5" s="325"/>
    </row>
    <row r="6" spans="1:19" ht="22.9" customHeight="1">
      <c r="A6" s="26" t="s">
        <v>571</v>
      </c>
      <c r="B6" s="23"/>
      <c r="C6" s="23"/>
      <c r="D6" s="23"/>
      <c r="E6" s="23"/>
      <c r="F6" s="23"/>
      <c r="H6" s="23"/>
      <c r="I6" s="23"/>
      <c r="J6" s="23"/>
      <c r="K6" s="23"/>
      <c r="L6" s="23"/>
      <c r="M6" s="23"/>
      <c r="N6" s="23"/>
      <c r="O6" s="23"/>
      <c r="P6" s="23"/>
      <c r="Q6" s="325"/>
    </row>
    <row r="7" spans="1:19" ht="19.5">
      <c r="A7" s="26" t="s">
        <v>492</v>
      </c>
      <c r="B7" s="23"/>
      <c r="C7" s="23"/>
      <c r="D7" s="23"/>
      <c r="E7" s="23"/>
      <c r="F7" s="23"/>
      <c r="H7" s="23"/>
      <c r="I7" s="23"/>
      <c r="J7" s="23"/>
      <c r="K7" s="23"/>
      <c r="L7" s="23"/>
      <c r="M7" s="23"/>
      <c r="N7" s="23"/>
      <c r="O7" s="23"/>
      <c r="P7" s="23"/>
      <c r="Q7" s="325"/>
    </row>
    <row r="8" spans="1:19" ht="19.899999999999999" customHeight="1">
      <c r="A8" s="27" t="s">
        <v>493</v>
      </c>
      <c r="B8" s="23"/>
      <c r="C8" s="23"/>
      <c r="D8" s="23"/>
      <c r="E8" s="23"/>
      <c r="F8" s="23"/>
      <c r="H8" s="23"/>
      <c r="I8" s="23"/>
      <c r="J8" s="23"/>
      <c r="K8" s="23"/>
      <c r="L8" s="23"/>
      <c r="M8" s="23"/>
      <c r="N8" s="23"/>
      <c r="O8" s="23"/>
      <c r="P8" s="23"/>
      <c r="Q8" s="325"/>
    </row>
    <row r="9" spans="1:19" ht="16.5">
      <c r="A9" s="92"/>
      <c r="B9" s="94"/>
      <c r="C9" s="94"/>
      <c r="D9" s="94"/>
      <c r="E9" s="94"/>
      <c r="F9" s="94"/>
      <c r="G9" s="315"/>
      <c r="H9" s="94"/>
      <c r="I9" s="94"/>
      <c r="J9" s="94"/>
      <c r="K9" s="94"/>
      <c r="L9" s="94"/>
      <c r="M9" s="94"/>
      <c r="N9" s="94"/>
      <c r="O9" s="94"/>
      <c r="P9" s="94"/>
      <c r="Q9" s="326"/>
    </row>
    <row r="10" spans="1:19" ht="63.6" customHeight="1">
      <c r="A10" s="675" t="s">
        <v>494</v>
      </c>
      <c r="B10" s="675" t="s">
        <v>665</v>
      </c>
      <c r="C10" s="986" t="s">
        <v>624</v>
      </c>
      <c r="D10" s="987"/>
      <c r="E10" s="987"/>
      <c r="F10" s="987"/>
      <c r="G10" s="988"/>
      <c r="H10" s="986" t="s">
        <v>625</v>
      </c>
      <c r="I10" s="987"/>
      <c r="J10" s="988"/>
      <c r="K10" s="986" t="s">
        <v>626</v>
      </c>
      <c r="L10" s="987"/>
      <c r="M10" s="988"/>
      <c r="N10" s="986" t="s">
        <v>627</v>
      </c>
      <c r="O10" s="987"/>
      <c r="P10" s="988"/>
      <c r="Q10" s="675" t="s">
        <v>505</v>
      </c>
      <c r="R10" s="985" t="s">
        <v>666</v>
      </c>
      <c r="S10" s="985" t="s">
        <v>667</v>
      </c>
    </row>
    <row r="11" spans="1:19" ht="49.15" customHeight="1">
      <c r="A11" s="982"/>
      <c r="B11" s="982"/>
      <c r="C11" s="316" t="s">
        <v>668</v>
      </c>
      <c r="D11" s="316" t="s">
        <v>669</v>
      </c>
      <c r="E11" s="316" t="s">
        <v>629</v>
      </c>
      <c r="F11" s="316" t="s">
        <v>670</v>
      </c>
      <c r="G11" s="316" t="s">
        <v>671</v>
      </c>
      <c r="H11" s="996" t="s">
        <v>668</v>
      </c>
      <c r="I11" s="996" t="s">
        <v>669</v>
      </c>
      <c r="J11" s="996" t="s">
        <v>629</v>
      </c>
      <c r="K11" s="996" t="s">
        <v>668</v>
      </c>
      <c r="L11" s="996" t="s">
        <v>669</v>
      </c>
      <c r="M11" s="996" t="s">
        <v>629</v>
      </c>
      <c r="N11" s="316" t="s">
        <v>668</v>
      </c>
      <c r="O11" s="316" t="s">
        <v>669</v>
      </c>
      <c r="P11" s="316" t="s">
        <v>629</v>
      </c>
      <c r="Q11" s="676"/>
      <c r="R11" s="671"/>
      <c r="S11" s="671"/>
    </row>
    <row r="12" spans="1:19" ht="35.25" customHeight="1">
      <c r="A12" s="676"/>
      <c r="B12" s="676"/>
      <c r="C12" s="317" t="s">
        <v>672</v>
      </c>
      <c r="D12" s="317" t="s">
        <v>673</v>
      </c>
      <c r="E12" s="317" t="s">
        <v>672</v>
      </c>
      <c r="F12" s="318" t="s">
        <v>674</v>
      </c>
      <c r="G12" s="319" t="s">
        <v>675</v>
      </c>
      <c r="H12" s="997"/>
      <c r="I12" s="997" t="s">
        <v>635</v>
      </c>
      <c r="J12" s="997" t="s">
        <v>636</v>
      </c>
      <c r="K12" s="997"/>
      <c r="L12" s="997"/>
      <c r="M12" s="997"/>
      <c r="N12" s="317" t="s">
        <v>639</v>
      </c>
      <c r="O12" s="317" t="s">
        <v>639</v>
      </c>
      <c r="P12" s="318" t="s">
        <v>639</v>
      </c>
      <c r="Q12" s="96" t="s">
        <v>676</v>
      </c>
      <c r="R12" s="671"/>
      <c r="S12" s="671"/>
    </row>
    <row r="13" spans="1:19" ht="36" customHeight="1">
      <c r="A13" s="567" t="s">
        <v>510</v>
      </c>
      <c r="B13" s="567" t="s">
        <v>511</v>
      </c>
      <c r="C13" s="567" t="s">
        <v>575</v>
      </c>
      <c r="D13" s="567" t="s">
        <v>513</v>
      </c>
      <c r="E13" s="567" t="s">
        <v>577</v>
      </c>
      <c r="F13" s="567" t="s">
        <v>515</v>
      </c>
      <c r="G13" s="567" t="s">
        <v>516</v>
      </c>
      <c r="H13" s="567" t="s">
        <v>641</v>
      </c>
      <c r="I13" s="567" t="s">
        <v>642</v>
      </c>
      <c r="J13" s="567" t="s">
        <v>521</v>
      </c>
      <c r="K13" s="567" t="s">
        <v>522</v>
      </c>
      <c r="L13" s="567" t="s">
        <v>643</v>
      </c>
      <c r="M13" s="567" t="s">
        <v>644</v>
      </c>
      <c r="N13" s="567" t="s">
        <v>645</v>
      </c>
      <c r="O13" s="567" t="s">
        <v>646</v>
      </c>
      <c r="P13" s="567" t="s">
        <v>647</v>
      </c>
      <c r="Q13" s="567" t="s">
        <v>648</v>
      </c>
      <c r="R13" s="671"/>
      <c r="S13" s="671"/>
    </row>
    <row r="14" spans="1:19" ht="32.25" customHeight="1">
      <c r="A14" s="30">
        <v>1</v>
      </c>
      <c r="B14" s="32">
        <v>0</v>
      </c>
      <c r="C14" s="177">
        <f>+B14*RIGHT($C$12,3)</f>
        <v>0</v>
      </c>
      <c r="D14" s="177">
        <f>+B14*RIGHT($D$12,3)</f>
        <v>0</v>
      </c>
      <c r="E14" s="177">
        <f t="shared" ref="E14:E25" si="0">+B14*RIGHT($E$12,3)</f>
        <v>0</v>
      </c>
      <c r="F14" s="177">
        <f>+B14*RIGHT($F$12,3)</f>
        <v>0</v>
      </c>
      <c r="G14" s="177">
        <f>+B14*RIGHT($G$12,3)</f>
        <v>0</v>
      </c>
      <c r="H14" s="177">
        <v>1.375</v>
      </c>
      <c r="I14" s="177">
        <v>1.913</v>
      </c>
      <c r="J14" s="177">
        <v>3.6669999999999998</v>
      </c>
      <c r="K14" s="177">
        <v>1</v>
      </c>
      <c r="L14" s="177">
        <v>1</v>
      </c>
      <c r="M14" s="177">
        <v>1</v>
      </c>
      <c r="N14" s="177">
        <f t="shared" ref="N14:P25" si="1">+C14*H14*K14</f>
        <v>0</v>
      </c>
      <c r="O14" s="177">
        <f t="shared" si="1"/>
        <v>0</v>
      </c>
      <c r="P14" s="177">
        <f t="shared" si="1"/>
        <v>0</v>
      </c>
      <c r="Q14" s="101">
        <f>+(N14+O14+P14)/1000</f>
        <v>0</v>
      </c>
      <c r="R14" s="101">
        <v>0.74993849999999995</v>
      </c>
      <c r="S14" s="101">
        <f>+Q14+R14</f>
        <v>0.74993849999999995</v>
      </c>
    </row>
    <row r="15" spans="1:19" ht="32.25" customHeight="1">
      <c r="A15" s="30">
        <v>2</v>
      </c>
      <c r="B15" s="32">
        <v>0</v>
      </c>
      <c r="C15" s="177">
        <f>+B15*RIGHT($C$12,3)</f>
        <v>0</v>
      </c>
      <c r="D15" s="177">
        <f t="shared" ref="D15:D25" si="2">+B15*RIGHT($D$12,3)</f>
        <v>0</v>
      </c>
      <c r="E15" s="177">
        <f t="shared" si="0"/>
        <v>0</v>
      </c>
      <c r="F15" s="177">
        <f t="shared" ref="F15:F25" si="3">+B15*RIGHT($F$12,3)</f>
        <v>0</v>
      </c>
      <c r="G15" s="177">
        <f t="shared" ref="G15:G25" si="4">+B15*RIGHT($G$12,3)</f>
        <v>0</v>
      </c>
      <c r="H15" s="177">
        <v>1.375</v>
      </c>
      <c r="I15" s="177">
        <v>1.913</v>
      </c>
      <c r="J15" s="177">
        <v>3.6669999999999998</v>
      </c>
      <c r="K15" s="177">
        <v>1</v>
      </c>
      <c r="L15" s="177">
        <v>1</v>
      </c>
      <c r="M15" s="177">
        <v>1</v>
      </c>
      <c r="N15" s="177">
        <f t="shared" si="1"/>
        <v>0</v>
      </c>
      <c r="O15" s="177">
        <f t="shared" si="1"/>
        <v>0</v>
      </c>
      <c r="P15" s="177">
        <f t="shared" si="1"/>
        <v>0</v>
      </c>
      <c r="Q15" s="101">
        <f t="shared" ref="Q15:Q25" si="5">+(N15+O15+P15)/1000</f>
        <v>0</v>
      </c>
      <c r="R15" s="101">
        <v>0.58328550000000001</v>
      </c>
      <c r="S15" s="101">
        <f t="shared" ref="S15:S26" si="6">+Q15+R15</f>
        <v>0.58328550000000001</v>
      </c>
    </row>
    <row r="16" spans="1:19" ht="32.25" customHeight="1">
      <c r="A16" s="30">
        <v>3</v>
      </c>
      <c r="B16" s="32">
        <v>0</v>
      </c>
      <c r="C16" s="177">
        <f>+B16*RIGHT($C$12,3)</f>
        <v>0</v>
      </c>
      <c r="D16" s="177">
        <f t="shared" si="2"/>
        <v>0</v>
      </c>
      <c r="E16" s="177">
        <f t="shared" si="0"/>
        <v>0</v>
      </c>
      <c r="F16" s="177">
        <f t="shared" si="3"/>
        <v>0</v>
      </c>
      <c r="G16" s="177">
        <f t="shared" si="4"/>
        <v>0</v>
      </c>
      <c r="H16" s="177">
        <v>1.375</v>
      </c>
      <c r="I16" s="177">
        <v>1.913</v>
      </c>
      <c r="J16" s="177">
        <v>3.6669999999999998</v>
      </c>
      <c r="K16" s="177">
        <v>1</v>
      </c>
      <c r="L16" s="177">
        <v>1</v>
      </c>
      <c r="M16" s="177">
        <v>1</v>
      </c>
      <c r="N16" s="177">
        <f t="shared" si="1"/>
        <v>0</v>
      </c>
      <c r="O16" s="177">
        <f t="shared" si="1"/>
        <v>0</v>
      </c>
      <c r="P16" s="177">
        <f t="shared" si="1"/>
        <v>0</v>
      </c>
      <c r="Q16" s="101">
        <f t="shared" si="5"/>
        <v>0</v>
      </c>
      <c r="R16" s="101">
        <v>1.166571</v>
      </c>
      <c r="S16" s="101">
        <f t="shared" si="6"/>
        <v>1.166571</v>
      </c>
    </row>
    <row r="17" spans="1:19" ht="32.25" customHeight="1">
      <c r="A17" s="30">
        <v>4</v>
      </c>
      <c r="B17" s="32">
        <v>0</v>
      </c>
      <c r="C17" s="177">
        <f>+B17*RIGHT($C$12,3)</f>
        <v>0</v>
      </c>
      <c r="D17" s="177">
        <f t="shared" si="2"/>
        <v>0</v>
      </c>
      <c r="E17" s="177">
        <f t="shared" si="0"/>
        <v>0</v>
      </c>
      <c r="F17" s="177">
        <f t="shared" si="3"/>
        <v>0</v>
      </c>
      <c r="G17" s="177">
        <f t="shared" si="4"/>
        <v>0</v>
      </c>
      <c r="H17" s="177">
        <v>1.375</v>
      </c>
      <c r="I17" s="177">
        <v>1.913</v>
      </c>
      <c r="J17" s="177">
        <v>3.6669999999999998</v>
      </c>
      <c r="K17" s="177">
        <v>1</v>
      </c>
      <c r="L17" s="177">
        <v>1</v>
      </c>
      <c r="M17" s="177">
        <v>1</v>
      </c>
      <c r="N17" s="177">
        <f t="shared" si="1"/>
        <v>0</v>
      </c>
      <c r="O17" s="177">
        <f t="shared" si="1"/>
        <v>0</v>
      </c>
      <c r="P17" s="177">
        <f t="shared" si="1"/>
        <v>0</v>
      </c>
      <c r="Q17" s="101">
        <f t="shared" si="5"/>
        <v>0</v>
      </c>
      <c r="R17" s="101">
        <v>1.4721015</v>
      </c>
      <c r="S17" s="101">
        <f t="shared" si="6"/>
        <v>1.4721015</v>
      </c>
    </row>
    <row r="18" spans="1:19" ht="32.25" customHeight="1">
      <c r="A18" s="30">
        <v>5</v>
      </c>
      <c r="B18" s="32">
        <v>0</v>
      </c>
      <c r="C18" s="177">
        <f>+B18*RIGHT($C$12,3)</f>
        <v>0</v>
      </c>
      <c r="D18" s="177">
        <f t="shared" si="2"/>
        <v>0</v>
      </c>
      <c r="E18" s="177">
        <f t="shared" si="0"/>
        <v>0</v>
      </c>
      <c r="F18" s="177">
        <f t="shared" si="3"/>
        <v>0</v>
      </c>
      <c r="G18" s="177">
        <f t="shared" si="4"/>
        <v>0</v>
      </c>
      <c r="H18" s="177">
        <v>1.375</v>
      </c>
      <c r="I18" s="177">
        <v>1.913</v>
      </c>
      <c r="J18" s="177">
        <v>3.6669999999999998</v>
      </c>
      <c r="K18" s="177">
        <v>1</v>
      </c>
      <c r="L18" s="177">
        <v>1</v>
      </c>
      <c r="M18" s="177">
        <v>1</v>
      </c>
      <c r="N18" s="177">
        <f t="shared" si="1"/>
        <v>0</v>
      </c>
      <c r="O18" s="177">
        <f t="shared" si="1"/>
        <v>0</v>
      </c>
      <c r="P18" s="177">
        <f t="shared" si="1"/>
        <v>0</v>
      </c>
      <c r="Q18" s="101">
        <f t="shared" si="5"/>
        <v>0</v>
      </c>
      <c r="R18" s="101">
        <v>1.944285</v>
      </c>
      <c r="S18" s="101">
        <f t="shared" si="6"/>
        <v>1.944285</v>
      </c>
    </row>
    <row r="19" spans="1:19" ht="32.25" customHeight="1">
      <c r="A19" s="30">
        <v>6</v>
      </c>
      <c r="B19" s="32">
        <v>735</v>
      </c>
      <c r="C19" s="177">
        <f t="shared" ref="C19:C25" si="7">+B19*RIGHT($C$12,3)</f>
        <v>36.75</v>
      </c>
      <c r="D19" s="177">
        <f t="shared" si="2"/>
        <v>110.25</v>
      </c>
      <c r="E19" s="177">
        <f t="shared" si="0"/>
        <v>36.75</v>
      </c>
      <c r="F19" s="177">
        <f t="shared" si="3"/>
        <v>183.75</v>
      </c>
      <c r="G19" s="177">
        <f t="shared" si="4"/>
        <v>183.75</v>
      </c>
      <c r="H19" s="177">
        <v>1.375</v>
      </c>
      <c r="I19" s="177">
        <v>1.913</v>
      </c>
      <c r="J19" s="177">
        <v>3.6669999999999998</v>
      </c>
      <c r="K19" s="177">
        <v>1</v>
      </c>
      <c r="L19" s="177">
        <v>1</v>
      </c>
      <c r="M19" s="177">
        <v>1</v>
      </c>
      <c r="N19" s="177">
        <f t="shared" si="1"/>
        <v>50.53125</v>
      </c>
      <c r="O19" s="177">
        <f t="shared" si="1"/>
        <v>210.90825000000001</v>
      </c>
      <c r="P19" s="177">
        <f t="shared" si="1"/>
        <v>134.76224999999999</v>
      </c>
      <c r="Q19" s="101">
        <f t="shared" si="5"/>
        <v>0.39620175000000002</v>
      </c>
      <c r="R19" s="101">
        <v>0.11110200000000001</v>
      </c>
      <c r="S19" s="101">
        <f t="shared" si="6"/>
        <v>0.50730375000000005</v>
      </c>
    </row>
    <row r="20" spans="1:19" ht="32.25" customHeight="1">
      <c r="A20" s="30">
        <v>7</v>
      </c>
      <c r="B20" s="32">
        <v>1085</v>
      </c>
      <c r="C20" s="177">
        <f t="shared" si="7"/>
        <v>54.25</v>
      </c>
      <c r="D20" s="177">
        <f t="shared" si="2"/>
        <v>162.75</v>
      </c>
      <c r="E20" s="177">
        <f t="shared" si="0"/>
        <v>54.25</v>
      </c>
      <c r="F20" s="177">
        <f t="shared" si="3"/>
        <v>271.25</v>
      </c>
      <c r="G20" s="177">
        <f t="shared" si="4"/>
        <v>271.25</v>
      </c>
      <c r="H20" s="177">
        <v>1.375</v>
      </c>
      <c r="I20" s="177">
        <v>1.913</v>
      </c>
      <c r="J20" s="177">
        <v>3.6669999999999998</v>
      </c>
      <c r="K20" s="177">
        <v>1</v>
      </c>
      <c r="L20" s="177">
        <v>1</v>
      </c>
      <c r="M20" s="177">
        <v>1</v>
      </c>
      <c r="N20" s="177">
        <f t="shared" si="1"/>
        <v>74.59375</v>
      </c>
      <c r="O20" s="177">
        <f t="shared" si="1"/>
        <v>311.34075000000001</v>
      </c>
      <c r="P20" s="177">
        <f t="shared" si="1"/>
        <v>198.93474999999998</v>
      </c>
      <c r="Q20" s="101">
        <f t="shared" si="5"/>
        <v>0.58486925000000001</v>
      </c>
      <c r="R20" s="101">
        <v>0</v>
      </c>
      <c r="S20" s="101">
        <f t="shared" si="6"/>
        <v>0.58486925000000001</v>
      </c>
    </row>
    <row r="21" spans="1:19" ht="32.25" customHeight="1">
      <c r="A21" s="30">
        <v>8</v>
      </c>
      <c r="B21" s="32">
        <v>520</v>
      </c>
      <c r="C21" s="177">
        <f t="shared" si="7"/>
        <v>26</v>
      </c>
      <c r="D21" s="177">
        <f t="shared" si="2"/>
        <v>78</v>
      </c>
      <c r="E21" s="177">
        <f t="shared" si="0"/>
        <v>26</v>
      </c>
      <c r="F21" s="177">
        <f t="shared" si="3"/>
        <v>130</v>
      </c>
      <c r="G21" s="177">
        <f t="shared" si="4"/>
        <v>130</v>
      </c>
      <c r="H21" s="177">
        <v>1.375</v>
      </c>
      <c r="I21" s="177">
        <v>1.913</v>
      </c>
      <c r="J21" s="177">
        <v>3.6669999999999998</v>
      </c>
      <c r="K21" s="177">
        <v>1</v>
      </c>
      <c r="L21" s="177">
        <v>1</v>
      </c>
      <c r="M21" s="177">
        <v>1</v>
      </c>
      <c r="N21" s="177">
        <f t="shared" si="1"/>
        <v>35.75</v>
      </c>
      <c r="O21" s="177">
        <f t="shared" si="1"/>
        <v>149.214</v>
      </c>
      <c r="P21" s="177">
        <f t="shared" si="1"/>
        <v>95.341999999999999</v>
      </c>
      <c r="Q21" s="101">
        <f t="shared" si="5"/>
        <v>0.280306</v>
      </c>
      <c r="R21" s="101">
        <v>0</v>
      </c>
      <c r="S21" s="101">
        <f t="shared" si="6"/>
        <v>0.280306</v>
      </c>
    </row>
    <row r="22" spans="1:19" ht="32.25" customHeight="1">
      <c r="A22" s="30">
        <v>9</v>
      </c>
      <c r="B22" s="32">
        <v>1780</v>
      </c>
      <c r="C22" s="177">
        <f t="shared" si="7"/>
        <v>89</v>
      </c>
      <c r="D22" s="177">
        <f t="shared" si="2"/>
        <v>267</v>
      </c>
      <c r="E22" s="177">
        <f t="shared" si="0"/>
        <v>89</v>
      </c>
      <c r="F22" s="177">
        <f t="shared" si="3"/>
        <v>445</v>
      </c>
      <c r="G22" s="177">
        <f t="shared" si="4"/>
        <v>445</v>
      </c>
      <c r="H22" s="177">
        <v>1.375</v>
      </c>
      <c r="I22" s="177">
        <v>1.913</v>
      </c>
      <c r="J22" s="177">
        <v>3.6669999999999998</v>
      </c>
      <c r="K22" s="177">
        <v>1</v>
      </c>
      <c r="L22" s="177">
        <v>1</v>
      </c>
      <c r="M22" s="177">
        <v>1</v>
      </c>
      <c r="N22" s="177">
        <f t="shared" si="1"/>
        <v>122.375</v>
      </c>
      <c r="O22" s="177">
        <f t="shared" si="1"/>
        <v>510.77100000000002</v>
      </c>
      <c r="P22" s="177">
        <f t="shared" si="1"/>
        <v>326.363</v>
      </c>
      <c r="Q22" s="101">
        <f t="shared" si="5"/>
        <v>0.95950900000000006</v>
      </c>
      <c r="R22" s="101">
        <v>0</v>
      </c>
      <c r="S22" s="101">
        <f t="shared" si="6"/>
        <v>0.95950900000000006</v>
      </c>
    </row>
    <row r="23" spans="1:19" ht="32.25" customHeight="1">
      <c r="A23" s="30">
        <v>10</v>
      </c>
      <c r="B23" s="32">
        <v>810</v>
      </c>
      <c r="C23" s="177">
        <f t="shared" si="7"/>
        <v>40.5</v>
      </c>
      <c r="D23" s="177">
        <f t="shared" si="2"/>
        <v>121.5</v>
      </c>
      <c r="E23" s="177">
        <f t="shared" si="0"/>
        <v>40.5</v>
      </c>
      <c r="F23" s="177">
        <f t="shared" si="3"/>
        <v>202.5</v>
      </c>
      <c r="G23" s="177">
        <f t="shared" si="4"/>
        <v>202.5</v>
      </c>
      <c r="H23" s="177">
        <v>1.375</v>
      </c>
      <c r="I23" s="177">
        <v>1.913</v>
      </c>
      <c r="J23" s="177">
        <v>3.6669999999999998</v>
      </c>
      <c r="K23" s="177">
        <v>1</v>
      </c>
      <c r="L23" s="177">
        <v>1</v>
      </c>
      <c r="M23" s="177">
        <v>1</v>
      </c>
      <c r="N23" s="177">
        <f t="shared" si="1"/>
        <v>55.6875</v>
      </c>
      <c r="O23" s="177">
        <f t="shared" si="1"/>
        <v>232.42949999999999</v>
      </c>
      <c r="P23" s="177">
        <f t="shared" si="1"/>
        <v>148.51349999999999</v>
      </c>
      <c r="Q23" s="101">
        <f t="shared" si="5"/>
        <v>0.43663049999999998</v>
      </c>
      <c r="R23" s="101">
        <v>0</v>
      </c>
      <c r="S23" s="101">
        <f t="shared" si="6"/>
        <v>0.43663049999999998</v>
      </c>
    </row>
    <row r="24" spans="1:19" ht="32.25" customHeight="1">
      <c r="A24" s="30">
        <v>11</v>
      </c>
      <c r="B24" s="32">
        <v>965</v>
      </c>
      <c r="C24" s="177">
        <f t="shared" si="7"/>
        <v>48.25</v>
      </c>
      <c r="D24" s="177">
        <f t="shared" si="2"/>
        <v>144.75</v>
      </c>
      <c r="E24" s="177">
        <f t="shared" si="0"/>
        <v>48.25</v>
      </c>
      <c r="F24" s="177">
        <f t="shared" si="3"/>
        <v>241.25</v>
      </c>
      <c r="G24" s="177">
        <f t="shared" si="4"/>
        <v>241.25</v>
      </c>
      <c r="H24" s="177">
        <v>1.375</v>
      </c>
      <c r="I24" s="177">
        <v>1.913</v>
      </c>
      <c r="J24" s="177">
        <v>3.6669999999999998</v>
      </c>
      <c r="K24" s="177">
        <v>1</v>
      </c>
      <c r="L24" s="177">
        <v>1</v>
      </c>
      <c r="M24" s="177">
        <v>1</v>
      </c>
      <c r="N24" s="177">
        <f t="shared" si="1"/>
        <v>66.34375</v>
      </c>
      <c r="O24" s="177">
        <f t="shared" si="1"/>
        <v>276.90674999999999</v>
      </c>
      <c r="P24" s="177">
        <f t="shared" si="1"/>
        <v>176.93275</v>
      </c>
      <c r="Q24" s="101">
        <f t="shared" si="5"/>
        <v>0.5201832500000001</v>
      </c>
      <c r="R24" s="101">
        <v>0</v>
      </c>
      <c r="S24" s="101">
        <f t="shared" si="6"/>
        <v>0.5201832500000001</v>
      </c>
    </row>
    <row r="25" spans="1:19" ht="32.25" customHeight="1">
      <c r="A25" s="30">
        <v>12</v>
      </c>
      <c r="B25" s="32">
        <v>1365</v>
      </c>
      <c r="C25" s="177">
        <f t="shared" si="7"/>
        <v>68.25</v>
      </c>
      <c r="D25" s="177">
        <f t="shared" si="2"/>
        <v>204.75</v>
      </c>
      <c r="E25" s="177">
        <f t="shared" si="0"/>
        <v>68.25</v>
      </c>
      <c r="F25" s="177">
        <f t="shared" si="3"/>
        <v>341.25</v>
      </c>
      <c r="G25" s="177">
        <f t="shared" si="4"/>
        <v>341.25</v>
      </c>
      <c r="H25" s="177">
        <v>1.375</v>
      </c>
      <c r="I25" s="177">
        <v>1.913</v>
      </c>
      <c r="J25" s="177">
        <v>3.6669999999999998</v>
      </c>
      <c r="K25" s="177">
        <v>1</v>
      </c>
      <c r="L25" s="177">
        <v>1</v>
      </c>
      <c r="M25" s="177">
        <v>1</v>
      </c>
      <c r="N25" s="177">
        <f t="shared" si="1"/>
        <v>93.84375</v>
      </c>
      <c r="O25" s="177">
        <f t="shared" si="1"/>
        <v>391.68675000000002</v>
      </c>
      <c r="P25" s="177">
        <f t="shared" si="1"/>
        <v>250.27274999999997</v>
      </c>
      <c r="Q25" s="101">
        <f t="shared" si="5"/>
        <v>0.73580324999999991</v>
      </c>
      <c r="R25" s="101">
        <v>0</v>
      </c>
      <c r="S25" s="101">
        <f t="shared" si="6"/>
        <v>0.73580324999999991</v>
      </c>
    </row>
    <row r="26" spans="1:19" ht="32.25" customHeight="1">
      <c r="A26" s="320" t="s">
        <v>469</v>
      </c>
      <c r="B26" s="103">
        <f>SUM(B14:B25)</f>
        <v>7260</v>
      </c>
      <c r="C26" s="310"/>
      <c r="D26" s="310"/>
      <c r="E26" s="310"/>
      <c r="F26" s="310"/>
      <c r="G26" s="310"/>
      <c r="H26" s="310"/>
      <c r="I26" s="310"/>
      <c r="J26" s="310"/>
      <c r="K26" s="310"/>
      <c r="L26" s="310"/>
      <c r="M26" s="310"/>
      <c r="N26" s="106">
        <f>SUM(N14:N25)</f>
        <v>499.125</v>
      </c>
      <c r="O26" s="106">
        <f>SUM(O14:O25)</f>
        <v>2083.2569999999996</v>
      </c>
      <c r="P26" s="106">
        <f>SUM(P14:P25)</f>
        <v>1331.1210000000001</v>
      </c>
      <c r="Q26" s="106">
        <f>SUM(Q14:Q25)</f>
        <v>3.9135030000000004</v>
      </c>
      <c r="R26" s="106">
        <f>SUM(R14:R25)</f>
        <v>6.0272834999999993</v>
      </c>
      <c r="S26" s="106">
        <f t="shared" si="6"/>
        <v>9.9407864999999997</v>
      </c>
    </row>
    <row r="27" spans="1:19" ht="16.5">
      <c r="A27" s="23"/>
      <c r="B27" s="23"/>
      <c r="C27" s="23"/>
      <c r="D27" s="23"/>
      <c r="E27" s="23"/>
      <c r="F27" s="23"/>
      <c r="H27" s="23"/>
      <c r="I27" s="23"/>
      <c r="J27" s="23"/>
      <c r="K27" s="23"/>
      <c r="L27" s="23"/>
      <c r="M27" s="23"/>
    </row>
    <row r="28" spans="1:19" ht="16.5">
      <c r="A28" s="321"/>
      <c r="B28" s="322"/>
      <c r="C28" s="322"/>
      <c r="D28" s="322"/>
      <c r="E28" s="322"/>
      <c r="F28" s="322"/>
      <c r="G28" s="323"/>
      <c r="H28" s="322"/>
      <c r="I28" s="322"/>
      <c r="J28" s="322"/>
      <c r="K28" s="322"/>
      <c r="L28" s="322"/>
      <c r="M28" s="322"/>
      <c r="N28" s="323"/>
      <c r="O28" s="323"/>
      <c r="P28" s="323"/>
      <c r="Q28" s="327"/>
    </row>
    <row r="29" spans="1:19" ht="18.600000000000001" customHeight="1">
      <c r="A29" s="994" t="s">
        <v>524</v>
      </c>
      <c r="B29" s="965"/>
      <c r="C29" s="965"/>
      <c r="D29" s="965"/>
      <c r="E29" s="965"/>
      <c r="F29" s="965"/>
      <c r="G29" s="965"/>
      <c r="H29" s="965"/>
      <c r="I29" s="965"/>
      <c r="J29" s="965"/>
      <c r="K29" s="965"/>
      <c r="L29" s="965"/>
      <c r="M29" s="965"/>
      <c r="N29" s="965"/>
      <c r="O29" s="965"/>
      <c r="P29" s="965"/>
      <c r="Q29" s="995"/>
    </row>
    <row r="30" spans="1:19" ht="19.149999999999999" customHeight="1">
      <c r="A30" s="979" t="s">
        <v>677</v>
      </c>
      <c r="B30" s="964"/>
      <c r="C30" s="964"/>
      <c r="D30" s="964"/>
      <c r="E30" s="964"/>
      <c r="F30" s="964"/>
      <c r="G30" s="964"/>
      <c r="H30" s="964"/>
      <c r="I30" s="964"/>
      <c r="J30" s="964"/>
      <c r="K30" s="964"/>
      <c r="L30" s="964"/>
      <c r="M30" s="964"/>
      <c r="N30" s="964"/>
      <c r="O30" s="964"/>
      <c r="P30" s="964"/>
      <c r="Q30" s="980"/>
    </row>
    <row r="31" spans="1:19" ht="19.149999999999999" customHeight="1">
      <c r="A31" s="979" t="s">
        <v>678</v>
      </c>
      <c r="B31" s="964"/>
      <c r="C31" s="964"/>
      <c r="D31" s="964"/>
      <c r="E31" s="964"/>
      <c r="F31" s="964"/>
      <c r="G31" s="964"/>
      <c r="H31" s="964"/>
      <c r="I31" s="964"/>
      <c r="J31" s="964"/>
      <c r="K31" s="964"/>
      <c r="L31" s="964"/>
      <c r="M31" s="964"/>
      <c r="N31" s="964"/>
      <c r="O31" s="964"/>
      <c r="P31" s="964"/>
      <c r="Q31" s="980"/>
    </row>
    <row r="32" spans="1:19" ht="19.149999999999999" customHeight="1">
      <c r="A32" s="979" t="s">
        <v>679</v>
      </c>
      <c r="B32" s="964"/>
      <c r="C32" s="964"/>
      <c r="D32" s="964"/>
      <c r="E32" s="964"/>
      <c r="F32" s="964"/>
      <c r="G32" s="964"/>
      <c r="H32" s="964"/>
      <c r="I32" s="964"/>
      <c r="J32" s="964"/>
      <c r="K32" s="964"/>
      <c r="L32" s="964"/>
      <c r="M32" s="964"/>
      <c r="N32" s="964"/>
      <c r="O32" s="964"/>
      <c r="P32" s="964"/>
      <c r="Q32" s="980"/>
      <c r="R32" s="312">
        <f>+(2*12+2*16*2)/(2*12+6*1+1*16)</f>
        <v>1.9130434782608696</v>
      </c>
    </row>
    <row r="33" spans="1:18" ht="19.149999999999999" customHeight="1">
      <c r="A33" s="979" t="s">
        <v>680</v>
      </c>
      <c r="B33" s="964"/>
      <c r="C33" s="964"/>
      <c r="D33" s="964"/>
      <c r="E33" s="964"/>
      <c r="F33" s="964"/>
      <c r="G33" s="964"/>
      <c r="H33" s="964"/>
      <c r="I33" s="964"/>
      <c r="J33" s="964"/>
      <c r="K33" s="964"/>
      <c r="L33" s="964"/>
      <c r="M33" s="964"/>
      <c r="N33" s="964"/>
      <c r="O33" s="964"/>
      <c r="P33" s="964"/>
      <c r="Q33" s="980"/>
    </row>
    <row r="34" spans="1:18" ht="19.149999999999999" customHeight="1">
      <c r="A34" s="979" t="s">
        <v>654</v>
      </c>
      <c r="B34" s="964"/>
      <c r="C34" s="964"/>
      <c r="D34" s="964"/>
      <c r="E34" s="964"/>
      <c r="F34" s="964"/>
      <c r="G34" s="964"/>
      <c r="H34" s="964"/>
      <c r="I34" s="964"/>
      <c r="J34" s="964"/>
      <c r="K34" s="964"/>
      <c r="L34" s="964"/>
      <c r="M34" s="964"/>
      <c r="N34" s="964"/>
      <c r="O34" s="964"/>
      <c r="P34" s="964"/>
      <c r="Q34" s="980"/>
    </row>
    <row r="35" spans="1:18" ht="19.149999999999999" customHeight="1">
      <c r="A35" s="979" t="s">
        <v>655</v>
      </c>
      <c r="B35" s="964"/>
      <c r="C35" s="964"/>
      <c r="D35" s="964"/>
      <c r="E35" s="964"/>
      <c r="F35" s="964"/>
      <c r="G35" s="964"/>
      <c r="H35" s="964"/>
      <c r="I35" s="964"/>
      <c r="J35" s="964"/>
      <c r="K35" s="964"/>
      <c r="L35" s="964"/>
      <c r="M35" s="964"/>
      <c r="N35" s="964"/>
      <c r="O35" s="964"/>
      <c r="P35" s="964"/>
      <c r="Q35" s="980"/>
      <c r="R35" s="328"/>
    </row>
    <row r="36" spans="1:18" ht="19.149999999999999" customHeight="1">
      <c r="A36" s="979" t="s">
        <v>681</v>
      </c>
      <c r="B36" s="964"/>
      <c r="C36" s="964"/>
      <c r="D36" s="964"/>
      <c r="E36" s="964"/>
      <c r="F36" s="964"/>
      <c r="G36" s="964"/>
      <c r="H36" s="964"/>
      <c r="I36" s="964"/>
      <c r="J36" s="964"/>
      <c r="K36" s="964"/>
      <c r="L36" s="964"/>
      <c r="M36" s="964"/>
      <c r="N36" s="964"/>
      <c r="O36" s="964"/>
      <c r="P36" s="964"/>
      <c r="Q36" s="980"/>
    </row>
    <row r="37" spans="1:18" ht="19.149999999999999" customHeight="1">
      <c r="A37" s="979" t="s">
        <v>659</v>
      </c>
      <c r="B37" s="964"/>
      <c r="C37" s="964"/>
      <c r="D37" s="964"/>
      <c r="E37" s="964"/>
      <c r="F37" s="964"/>
      <c r="G37" s="964"/>
      <c r="H37" s="964"/>
      <c r="I37" s="964"/>
      <c r="J37" s="964"/>
      <c r="K37" s="964"/>
      <c r="L37" s="964"/>
      <c r="M37" s="964"/>
      <c r="N37" s="964"/>
      <c r="O37" s="964"/>
      <c r="P37" s="964"/>
      <c r="Q37" s="980"/>
    </row>
    <row r="38" spans="1:18" ht="19.149999999999999" customHeight="1">
      <c r="A38" s="979" t="s">
        <v>682</v>
      </c>
      <c r="B38" s="964"/>
      <c r="C38" s="964"/>
      <c r="D38" s="964"/>
      <c r="E38" s="964"/>
      <c r="F38" s="964"/>
      <c r="G38" s="964"/>
      <c r="H38" s="964"/>
      <c r="I38" s="964"/>
      <c r="J38" s="964"/>
      <c r="K38" s="964"/>
      <c r="L38" s="964"/>
      <c r="M38" s="964"/>
      <c r="N38" s="964"/>
      <c r="O38" s="964"/>
      <c r="P38" s="964"/>
      <c r="Q38" s="980"/>
    </row>
    <row r="39" spans="1:18" ht="19.149999999999999" customHeight="1">
      <c r="A39" s="979" t="s">
        <v>683</v>
      </c>
      <c r="B39" s="964"/>
      <c r="C39" s="964"/>
      <c r="D39" s="964"/>
      <c r="E39" s="964"/>
      <c r="F39" s="964"/>
      <c r="G39" s="964"/>
      <c r="H39" s="964"/>
      <c r="I39" s="964"/>
      <c r="J39" s="964"/>
      <c r="K39" s="964"/>
      <c r="L39" s="964"/>
      <c r="M39" s="964"/>
      <c r="N39" s="964"/>
      <c r="O39" s="964"/>
      <c r="P39" s="964"/>
      <c r="Q39" s="980"/>
    </row>
    <row r="40" spans="1:18" ht="19.149999999999999" customHeight="1">
      <c r="A40" s="979" t="s">
        <v>660</v>
      </c>
      <c r="B40" s="964"/>
      <c r="C40" s="964"/>
      <c r="D40" s="964"/>
      <c r="E40" s="964"/>
      <c r="F40" s="964"/>
      <c r="G40" s="964"/>
      <c r="H40" s="964"/>
      <c r="I40" s="964"/>
      <c r="J40" s="964"/>
      <c r="K40" s="964"/>
      <c r="L40" s="964"/>
      <c r="M40" s="964"/>
      <c r="N40" s="964"/>
      <c r="O40" s="964"/>
      <c r="P40" s="964"/>
      <c r="Q40" s="980"/>
    </row>
    <row r="41" spans="1:18" ht="19.149999999999999" customHeight="1">
      <c r="A41" s="979" t="s">
        <v>661</v>
      </c>
      <c r="B41" s="964"/>
      <c r="C41" s="964"/>
      <c r="D41" s="964"/>
      <c r="E41" s="964"/>
      <c r="F41" s="964"/>
      <c r="G41" s="964"/>
      <c r="H41" s="964"/>
      <c r="I41" s="964"/>
      <c r="J41" s="964"/>
      <c r="K41" s="964"/>
      <c r="L41" s="964"/>
      <c r="M41" s="964"/>
      <c r="N41" s="964"/>
      <c r="O41" s="964"/>
      <c r="P41" s="964"/>
      <c r="Q41" s="980"/>
    </row>
    <row r="42" spans="1:18" ht="23.45" customHeight="1">
      <c r="A42" s="981" t="s">
        <v>585</v>
      </c>
      <c r="B42" s="981"/>
      <c r="C42" s="981"/>
      <c r="D42" s="899" t="s">
        <v>526</v>
      </c>
      <c r="E42" s="899"/>
      <c r="F42" s="899"/>
      <c r="G42" s="993" t="s">
        <v>586</v>
      </c>
      <c r="H42" s="993"/>
      <c r="I42" s="993"/>
      <c r="J42" s="993"/>
      <c r="K42" s="993"/>
      <c r="L42" s="993"/>
      <c r="M42" s="993"/>
      <c r="N42" s="993"/>
      <c r="O42" s="993"/>
      <c r="P42" s="993"/>
      <c r="Q42" s="993"/>
    </row>
    <row r="43" spans="1:18" ht="23.45" customHeight="1">
      <c r="A43" s="895" t="s">
        <v>587</v>
      </c>
      <c r="B43" s="895"/>
      <c r="C43" s="895"/>
      <c r="D43" s="977">
        <v>12</v>
      </c>
      <c r="E43" s="977"/>
      <c r="F43" s="977"/>
      <c r="G43" s="900"/>
      <c r="H43" s="900"/>
      <c r="I43" s="900"/>
      <c r="J43" s="900"/>
      <c r="K43" s="900"/>
      <c r="L43" s="900"/>
      <c r="M43" s="900"/>
      <c r="N43" s="900"/>
      <c r="O43" s="900"/>
      <c r="P43" s="900"/>
      <c r="Q43" s="900"/>
    </row>
    <row r="44" spans="1:18" ht="23.45" customHeight="1">
      <c r="A44" s="895" t="s">
        <v>588</v>
      </c>
      <c r="B44" s="895"/>
      <c r="C44" s="895"/>
      <c r="D44" s="977">
        <v>16</v>
      </c>
      <c r="E44" s="977"/>
      <c r="F44" s="977"/>
      <c r="G44" s="989"/>
      <c r="H44" s="990"/>
      <c r="I44" s="990"/>
      <c r="J44" s="990"/>
      <c r="K44" s="990"/>
      <c r="L44" s="990"/>
      <c r="M44" s="990"/>
      <c r="N44" s="990"/>
      <c r="O44" s="990"/>
      <c r="P44" s="990"/>
      <c r="Q44" s="991"/>
    </row>
    <row r="45" spans="1:18" ht="23.45" customHeight="1">
      <c r="A45" s="895" t="s">
        <v>662</v>
      </c>
      <c r="B45" s="895"/>
      <c r="C45" s="895"/>
      <c r="D45" s="977">
        <v>1</v>
      </c>
      <c r="E45" s="977"/>
      <c r="F45" s="977"/>
      <c r="G45" s="989"/>
      <c r="H45" s="990"/>
      <c r="I45" s="990"/>
      <c r="J45" s="990"/>
      <c r="K45" s="990"/>
      <c r="L45" s="990"/>
      <c r="M45" s="990"/>
      <c r="N45" s="990"/>
      <c r="O45" s="990"/>
      <c r="P45" s="990"/>
      <c r="Q45" s="991"/>
    </row>
    <row r="47" spans="1:18">
      <c r="A47" s="992"/>
      <c r="B47" s="992"/>
      <c r="C47" s="992"/>
      <c r="D47" s="324"/>
      <c r="E47" s="324"/>
    </row>
    <row r="48" spans="1:18">
      <c r="A48" s="992"/>
      <c r="B48" s="992"/>
      <c r="C48" s="992"/>
      <c r="D48" s="324"/>
      <c r="E48" s="324"/>
      <c r="F48" s="324"/>
      <c r="I48" s="324"/>
      <c r="J48" s="324"/>
      <c r="L48" s="324"/>
      <c r="M48" s="324"/>
      <c r="O48" s="324"/>
      <c r="P48" s="324"/>
    </row>
  </sheetData>
  <mergeCells count="45">
    <mergeCell ref="A29:Q29"/>
    <mergeCell ref="A10:A12"/>
    <mergeCell ref="B10:B12"/>
    <mergeCell ref="H11:H12"/>
    <mergeCell ref="I11:I12"/>
    <mergeCell ref="J11:J12"/>
    <mergeCell ref="K11:K12"/>
    <mergeCell ref="L11:L12"/>
    <mergeCell ref="M11:M12"/>
    <mergeCell ref="A30:Q30"/>
    <mergeCell ref="A31:Q31"/>
    <mergeCell ref="A32:Q32"/>
    <mergeCell ref="A33:Q33"/>
    <mergeCell ref="A34:Q34"/>
    <mergeCell ref="A35:Q35"/>
    <mergeCell ref="A36:Q36"/>
    <mergeCell ref="A37:Q37"/>
    <mergeCell ref="A38:Q38"/>
    <mergeCell ref="A39:Q39"/>
    <mergeCell ref="A40:Q40"/>
    <mergeCell ref="A41:Q41"/>
    <mergeCell ref="A42:C42"/>
    <mergeCell ref="D42:F42"/>
    <mergeCell ref="G42:Q42"/>
    <mergeCell ref="A43:C43"/>
    <mergeCell ref="D43:F43"/>
    <mergeCell ref="G43:Q43"/>
    <mergeCell ref="A44:C44"/>
    <mergeCell ref="D44:F44"/>
    <mergeCell ref="G44:Q44"/>
    <mergeCell ref="A45:C45"/>
    <mergeCell ref="D45:F45"/>
    <mergeCell ref="G45:Q45"/>
    <mergeCell ref="A47:C47"/>
    <mergeCell ref="A48:C48"/>
    <mergeCell ref="Q1:Q3"/>
    <mergeCell ref="Q10:Q11"/>
    <mergeCell ref="R10:R13"/>
    <mergeCell ref="S10:S13"/>
    <mergeCell ref="A1:B3"/>
    <mergeCell ref="C1:P3"/>
    <mergeCell ref="C10:G10"/>
    <mergeCell ref="H10:J10"/>
    <mergeCell ref="K10:M10"/>
    <mergeCell ref="N10:P10"/>
  </mergeCells>
  <pageMargins left="0.98425196850393704" right="0.59055118110236204" top="0.78740157480314998" bottom="0.78740157480314998" header="0.31496062992126" footer="0.31496062992126"/>
  <pageSetup scale="41"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2060"/>
    <pageSetUpPr fitToPage="1"/>
  </sheetPr>
  <dimension ref="A1:G70"/>
  <sheetViews>
    <sheetView topLeftCell="A21" zoomScaleNormal="100" workbookViewId="0">
      <selection activeCell="G1" sqref="G1:G3"/>
    </sheetView>
  </sheetViews>
  <sheetFormatPr defaultColWidth="9.28515625" defaultRowHeight="14.25"/>
  <cols>
    <col min="1" max="1" width="9.7109375" style="18" customWidth="1"/>
    <col min="2" max="2" width="22.7109375" style="18" customWidth="1"/>
    <col min="3" max="3" width="27.85546875" style="18" customWidth="1"/>
    <col min="4" max="4" width="25" style="18" customWidth="1"/>
    <col min="5" max="5" width="25.28515625" style="18" customWidth="1"/>
    <col min="6" max="6" width="20.42578125" style="18" customWidth="1"/>
    <col min="7" max="7" width="28" style="18" customWidth="1"/>
    <col min="8" max="8" width="23.28515625" style="18" customWidth="1"/>
    <col min="9" max="16384" width="9.28515625" style="18"/>
  </cols>
  <sheetData>
    <row r="1" spans="1:7" ht="25.9" customHeight="1">
      <c r="A1" s="998"/>
      <c r="B1" s="998"/>
      <c r="C1" s="780" t="s">
        <v>684</v>
      </c>
      <c r="D1" s="780"/>
      <c r="E1" s="780"/>
      <c r="F1" s="780"/>
      <c r="G1" s="780" t="s">
        <v>1101</v>
      </c>
    </row>
    <row r="2" spans="1:7" ht="40.15" customHeight="1">
      <c r="A2" s="998"/>
      <c r="B2" s="998"/>
      <c r="C2" s="780"/>
      <c r="D2" s="780"/>
      <c r="E2" s="780"/>
      <c r="F2" s="780"/>
      <c r="G2" s="780"/>
    </row>
    <row r="3" spans="1:7" ht="35.450000000000003" customHeight="1">
      <c r="A3" s="998"/>
      <c r="B3" s="998"/>
      <c r="C3" s="780"/>
      <c r="D3" s="780"/>
      <c r="E3" s="780"/>
      <c r="F3" s="780"/>
      <c r="G3" s="780"/>
    </row>
    <row r="4" spans="1:7">
      <c r="A4" s="290"/>
      <c r="G4" s="291"/>
    </row>
    <row r="5" spans="1:7" ht="22.15" customHeight="1">
      <c r="A5" s="292" t="s">
        <v>685</v>
      </c>
      <c r="B5" s="52"/>
      <c r="C5" s="52"/>
      <c r="D5" s="52"/>
      <c r="E5" s="52"/>
      <c r="F5" s="52"/>
      <c r="G5" s="293"/>
    </row>
    <row r="6" spans="1:7" ht="22.15" customHeight="1">
      <c r="A6" s="294" t="s">
        <v>571</v>
      </c>
      <c r="B6" s="52"/>
      <c r="C6" s="52"/>
      <c r="D6" s="52"/>
      <c r="E6" s="52"/>
      <c r="F6" s="52"/>
      <c r="G6" s="293"/>
    </row>
    <row r="7" spans="1:7" ht="22.15" customHeight="1">
      <c r="A7" s="294" t="s">
        <v>492</v>
      </c>
      <c r="B7" s="52"/>
      <c r="C7" s="52"/>
      <c r="D7" s="52"/>
      <c r="E7" s="52"/>
      <c r="F7" s="52"/>
      <c r="G7" s="293"/>
    </row>
    <row r="8" spans="1:7" ht="22.15" customHeight="1">
      <c r="A8" s="295" t="s">
        <v>493</v>
      </c>
      <c r="B8" s="52"/>
      <c r="C8" s="52"/>
      <c r="D8" s="52"/>
      <c r="E8" s="52"/>
      <c r="F8" s="52"/>
      <c r="G8" s="293"/>
    </row>
    <row r="9" spans="1:7" ht="16.5">
      <c r="A9" s="296"/>
      <c r="B9" s="297"/>
      <c r="C9" s="297"/>
      <c r="D9" s="297"/>
      <c r="E9" s="297"/>
      <c r="F9" s="297"/>
      <c r="G9" s="298"/>
    </row>
    <row r="10" spans="1:7" ht="19.149999999999999" customHeight="1">
      <c r="A10" s="675" t="s">
        <v>494</v>
      </c>
      <c r="B10" s="675" t="s">
        <v>686</v>
      </c>
      <c r="C10" s="675" t="s">
        <v>687</v>
      </c>
      <c r="D10" s="675" t="s">
        <v>688</v>
      </c>
      <c r="E10" s="675" t="s">
        <v>689</v>
      </c>
      <c r="F10" s="675" t="s">
        <v>574</v>
      </c>
      <c r="G10" s="675" t="s">
        <v>505</v>
      </c>
    </row>
    <row r="11" spans="1:7" ht="46.5" customHeight="1">
      <c r="A11" s="676"/>
      <c r="B11" s="676"/>
      <c r="C11" s="676"/>
      <c r="D11" s="676"/>
      <c r="E11" s="676"/>
      <c r="F11" s="676"/>
      <c r="G11" s="676"/>
    </row>
    <row r="12" spans="1:7" ht="33" customHeight="1">
      <c r="A12" s="567" t="s">
        <v>510</v>
      </c>
      <c r="B12" s="567" t="s">
        <v>511</v>
      </c>
      <c r="C12" s="567" t="s">
        <v>575</v>
      </c>
      <c r="D12" s="567" t="s">
        <v>513</v>
      </c>
      <c r="E12" s="567" t="s">
        <v>690</v>
      </c>
      <c r="F12" s="567" t="s">
        <v>515</v>
      </c>
      <c r="G12" s="567" t="s">
        <v>691</v>
      </c>
    </row>
    <row r="13" spans="1:7" ht="23.25" customHeight="1">
      <c r="A13" s="30">
        <v>1</v>
      </c>
      <c r="B13" s="299">
        <v>2118</v>
      </c>
      <c r="C13" s="300">
        <v>0.79200000000000004</v>
      </c>
      <c r="D13" s="301">
        <v>0.96</v>
      </c>
      <c r="E13" s="174">
        <f>+B13*C13*D13</f>
        <v>1610.3577600000001</v>
      </c>
      <c r="F13" s="300">
        <v>1.913</v>
      </c>
      <c r="G13" s="101">
        <f>+E13*F13/1000</f>
        <v>3.0806143948800004</v>
      </c>
    </row>
    <row r="14" spans="1:7" ht="23.25" customHeight="1">
      <c r="A14" s="30">
        <v>2</v>
      </c>
      <c r="B14" s="299">
        <v>1412</v>
      </c>
      <c r="C14" s="300">
        <v>0.79200000000000004</v>
      </c>
      <c r="D14" s="301">
        <v>0.96</v>
      </c>
      <c r="E14" s="174">
        <f t="shared" ref="E14:E24" si="0">+B14*C14*D14</f>
        <v>1073.5718400000001</v>
      </c>
      <c r="F14" s="300">
        <v>1.913</v>
      </c>
      <c r="G14" s="101">
        <f t="shared" ref="G14:G24" si="1">+E14*F14/1000</f>
        <v>2.0537429299200003</v>
      </c>
    </row>
    <row r="15" spans="1:7" ht="23.25" customHeight="1">
      <c r="A15" s="30">
        <v>3</v>
      </c>
      <c r="B15" s="299">
        <v>2108</v>
      </c>
      <c r="C15" s="300">
        <v>0.79200000000000004</v>
      </c>
      <c r="D15" s="301">
        <v>0.96</v>
      </c>
      <c r="E15" s="174">
        <f t="shared" si="0"/>
        <v>1602.7545600000001</v>
      </c>
      <c r="F15" s="300">
        <v>1.913</v>
      </c>
      <c r="G15" s="101">
        <f t="shared" si="1"/>
        <v>3.0660694732800002</v>
      </c>
    </row>
    <row r="16" spans="1:7" ht="23.25" customHeight="1">
      <c r="A16" s="30">
        <v>4</v>
      </c>
      <c r="B16" s="299">
        <v>3361</v>
      </c>
      <c r="C16" s="300">
        <v>0.79200000000000004</v>
      </c>
      <c r="D16" s="301">
        <v>0.96</v>
      </c>
      <c r="E16" s="174">
        <f t="shared" si="0"/>
        <v>2555.43552</v>
      </c>
      <c r="F16" s="300">
        <v>1.913</v>
      </c>
      <c r="G16" s="101">
        <f t="shared" si="1"/>
        <v>4.8885481497600001</v>
      </c>
    </row>
    <row r="17" spans="1:7" ht="23.25" customHeight="1">
      <c r="A17" s="30">
        <v>5</v>
      </c>
      <c r="B17" s="299">
        <v>2585</v>
      </c>
      <c r="C17" s="300">
        <v>0.79200000000000004</v>
      </c>
      <c r="D17" s="301">
        <v>0.96</v>
      </c>
      <c r="E17" s="174">
        <f t="shared" si="0"/>
        <v>1965.4272000000001</v>
      </c>
      <c r="F17" s="300">
        <v>1.913</v>
      </c>
      <c r="G17" s="101">
        <f t="shared" si="1"/>
        <v>3.7598622336000003</v>
      </c>
    </row>
    <row r="18" spans="1:7" ht="23.25" customHeight="1">
      <c r="A18" s="30">
        <v>6</v>
      </c>
      <c r="B18" s="299">
        <v>3643</v>
      </c>
      <c r="C18" s="300">
        <v>0.79200000000000004</v>
      </c>
      <c r="D18" s="301">
        <v>0.96</v>
      </c>
      <c r="E18" s="174">
        <f t="shared" si="0"/>
        <v>2769.8457600000002</v>
      </c>
      <c r="F18" s="300">
        <v>1.913</v>
      </c>
      <c r="G18" s="101">
        <f t="shared" si="1"/>
        <v>5.2987149388800008</v>
      </c>
    </row>
    <row r="19" spans="1:7" ht="23.25" customHeight="1">
      <c r="A19" s="30">
        <v>7</v>
      </c>
      <c r="B19" s="299">
        <v>4116</v>
      </c>
      <c r="C19" s="300">
        <v>0.79200000000000004</v>
      </c>
      <c r="D19" s="301">
        <v>0.96</v>
      </c>
      <c r="E19" s="174">
        <f t="shared" si="0"/>
        <v>3129.47712</v>
      </c>
      <c r="F19" s="300">
        <v>1.913</v>
      </c>
      <c r="G19" s="101">
        <f t="shared" si="1"/>
        <v>5.9866897305600002</v>
      </c>
    </row>
    <row r="20" spans="1:7" ht="23.25" customHeight="1">
      <c r="A20" s="30">
        <v>8</v>
      </c>
      <c r="B20" s="299">
        <v>4447</v>
      </c>
      <c r="C20" s="300">
        <v>0.79200000000000004</v>
      </c>
      <c r="D20" s="301">
        <v>0.96</v>
      </c>
      <c r="E20" s="174">
        <f t="shared" si="0"/>
        <v>3381.1430400000004</v>
      </c>
      <c r="F20" s="300">
        <v>1.913</v>
      </c>
      <c r="G20" s="101">
        <f t="shared" si="1"/>
        <v>6.4681266355200009</v>
      </c>
    </row>
    <row r="21" spans="1:7" ht="23.25" customHeight="1">
      <c r="A21" s="30">
        <v>9</v>
      </c>
      <c r="B21" s="299">
        <v>4585</v>
      </c>
      <c r="C21" s="300">
        <v>0.79200000000000004</v>
      </c>
      <c r="D21" s="301">
        <v>0.96</v>
      </c>
      <c r="E21" s="174">
        <f t="shared" si="0"/>
        <v>3486.0672</v>
      </c>
      <c r="F21" s="300">
        <v>1.913</v>
      </c>
      <c r="G21" s="101">
        <f t="shared" si="1"/>
        <v>6.6688465535999999</v>
      </c>
    </row>
    <row r="22" spans="1:7" ht="23.25" customHeight="1">
      <c r="A22" s="30">
        <v>10</v>
      </c>
      <c r="B22" s="299">
        <v>4150</v>
      </c>
      <c r="C22" s="300">
        <v>0.79200000000000004</v>
      </c>
      <c r="D22" s="301">
        <v>0.96</v>
      </c>
      <c r="E22" s="174">
        <f t="shared" si="0"/>
        <v>3155.328</v>
      </c>
      <c r="F22" s="300">
        <v>1.913</v>
      </c>
      <c r="G22" s="101">
        <f t="shared" si="1"/>
        <v>6.0361424640000001</v>
      </c>
    </row>
    <row r="23" spans="1:7" ht="23.25" customHeight="1">
      <c r="A23" s="30">
        <v>11</v>
      </c>
      <c r="B23" s="299">
        <v>4350</v>
      </c>
      <c r="C23" s="300">
        <v>0.79200000000000004</v>
      </c>
      <c r="D23" s="301">
        <v>0.96</v>
      </c>
      <c r="E23" s="174">
        <f t="shared" si="0"/>
        <v>3307.3920000000003</v>
      </c>
      <c r="F23" s="300">
        <v>1.913</v>
      </c>
      <c r="G23" s="101">
        <f t="shared" si="1"/>
        <v>6.3270408960000006</v>
      </c>
    </row>
    <row r="24" spans="1:7" ht="23.25" customHeight="1">
      <c r="A24" s="30">
        <v>12</v>
      </c>
      <c r="B24" s="299">
        <v>3700</v>
      </c>
      <c r="C24" s="300">
        <v>0.79200000000000004</v>
      </c>
      <c r="D24" s="301">
        <v>0.96</v>
      </c>
      <c r="E24" s="174">
        <f t="shared" si="0"/>
        <v>2813.1840000000002</v>
      </c>
      <c r="F24" s="300">
        <v>1.913</v>
      </c>
      <c r="G24" s="101">
        <f t="shared" si="1"/>
        <v>5.3816209920000002</v>
      </c>
    </row>
    <row r="25" spans="1:7" ht="23.25" customHeight="1">
      <c r="A25" s="302" t="s">
        <v>469</v>
      </c>
      <c r="B25" s="303">
        <f>SUM(B13:B24)</f>
        <v>40575</v>
      </c>
      <c r="C25" s="303"/>
      <c r="D25" s="301"/>
      <c r="E25" s="303">
        <f>SUM(E13:E24)</f>
        <v>30849.984000000004</v>
      </c>
      <c r="F25" s="303"/>
      <c r="G25" s="304">
        <f>SUM(G13:G24)</f>
        <v>59.016019392000004</v>
      </c>
    </row>
    <row r="26" spans="1:7" ht="11.45" customHeight="1">
      <c r="A26" s="208"/>
      <c r="B26" s="208"/>
      <c r="C26" s="208"/>
      <c r="D26" s="208"/>
      <c r="E26" s="208"/>
      <c r="F26" s="208"/>
      <c r="G26" s="208"/>
    </row>
    <row r="27" spans="1:7" ht="10.15" customHeight="1">
      <c r="A27" s="208"/>
      <c r="B27" s="208"/>
      <c r="C27" s="208"/>
      <c r="D27" s="208"/>
      <c r="E27" s="208"/>
      <c r="F27" s="208"/>
      <c r="G27" s="208"/>
    </row>
    <row r="28" spans="1:7" ht="16.5">
      <c r="A28" s="682" t="s">
        <v>524</v>
      </c>
      <c r="B28" s="683"/>
      <c r="C28" s="683"/>
      <c r="D28" s="683"/>
      <c r="E28" s="683"/>
      <c r="F28" s="683"/>
      <c r="G28" s="684"/>
    </row>
    <row r="29" spans="1:7" ht="16.5">
      <c r="A29" s="979" t="s">
        <v>692</v>
      </c>
      <c r="B29" s="964"/>
      <c r="C29" s="964"/>
      <c r="D29" s="964"/>
      <c r="E29" s="964"/>
      <c r="F29" s="964"/>
      <c r="G29" s="980"/>
    </row>
    <row r="30" spans="1:7" ht="16.5">
      <c r="A30" s="979" t="s">
        <v>693</v>
      </c>
      <c r="B30" s="964"/>
      <c r="C30" s="964"/>
      <c r="D30" s="964"/>
      <c r="E30" s="964"/>
      <c r="F30" s="964"/>
      <c r="G30" s="980"/>
    </row>
    <row r="31" spans="1:7" ht="16.5">
      <c r="A31" s="979" t="s">
        <v>694</v>
      </c>
      <c r="B31" s="964"/>
      <c r="C31" s="964"/>
      <c r="D31" s="964"/>
      <c r="E31" s="964"/>
      <c r="F31" s="964"/>
      <c r="G31" s="980"/>
    </row>
    <row r="32" spans="1:7" ht="16.5">
      <c r="A32" s="999" t="s">
        <v>695</v>
      </c>
      <c r="B32" s="1000"/>
      <c r="C32" s="1000"/>
      <c r="D32" s="1000"/>
      <c r="E32" s="1000"/>
      <c r="F32" s="1000"/>
      <c r="G32" s="1001"/>
    </row>
    <row r="33" spans="1:7" ht="16.5">
      <c r="A33" s="947"/>
      <c r="B33" s="949"/>
      <c r="C33" s="949"/>
      <c r="D33" s="949"/>
      <c r="E33" s="949"/>
      <c r="F33" s="949"/>
      <c r="G33" s="948"/>
    </row>
    <row r="34" spans="1:7" ht="16.5">
      <c r="A34" s="923" t="s">
        <v>585</v>
      </c>
      <c r="B34" s="924"/>
      <c r="C34" s="924"/>
      <c r="D34" s="925"/>
      <c r="E34" s="95" t="s">
        <v>526</v>
      </c>
      <c r="F34" s="923" t="s">
        <v>586</v>
      </c>
      <c r="G34" s="925"/>
    </row>
    <row r="35" spans="1:7" ht="16.5">
      <c r="A35" s="895" t="s">
        <v>587</v>
      </c>
      <c r="B35" s="895"/>
      <c r="C35" s="895"/>
      <c r="D35" s="895"/>
      <c r="E35" s="287">
        <v>12</v>
      </c>
      <c r="F35" s="947"/>
      <c r="G35" s="948"/>
    </row>
    <row r="36" spans="1:7" ht="16.5">
      <c r="A36" s="895" t="s">
        <v>588</v>
      </c>
      <c r="B36" s="895"/>
      <c r="C36" s="895"/>
      <c r="D36" s="895"/>
      <c r="E36" s="287">
        <v>16</v>
      </c>
      <c r="F36" s="947"/>
      <c r="G36" s="948"/>
    </row>
    <row r="37" spans="1:7" ht="16.5">
      <c r="A37" s="895" t="s">
        <v>589</v>
      </c>
      <c r="B37" s="895"/>
      <c r="C37" s="895"/>
      <c r="D37" s="895"/>
      <c r="E37" s="305">
        <v>1</v>
      </c>
      <c r="F37" s="947"/>
      <c r="G37" s="948"/>
    </row>
    <row r="38" spans="1:7">
      <c r="A38" s="208"/>
      <c r="B38" s="208"/>
      <c r="C38" s="208"/>
      <c r="D38" s="208"/>
      <c r="E38" s="208"/>
      <c r="F38" s="208"/>
      <c r="G38" s="208"/>
    </row>
    <row r="39" spans="1:7">
      <c r="A39" s="208"/>
      <c r="B39" s="208"/>
      <c r="C39" s="208"/>
      <c r="D39" s="208"/>
      <c r="E39" s="208"/>
      <c r="F39" s="208"/>
      <c r="G39" s="208"/>
    </row>
    <row r="40" spans="1:7">
      <c r="A40" s="208"/>
      <c r="B40" s="208"/>
      <c r="C40" s="208"/>
      <c r="D40" s="208"/>
      <c r="E40" s="208"/>
      <c r="F40" s="208"/>
      <c r="G40" s="208"/>
    </row>
    <row r="41" spans="1:7">
      <c r="A41" s="208"/>
      <c r="B41" s="208"/>
      <c r="C41" s="208"/>
      <c r="D41" s="208"/>
      <c r="E41" s="208"/>
      <c r="F41" s="208"/>
      <c r="G41" s="208"/>
    </row>
    <row r="42" spans="1:7">
      <c r="A42" s="208"/>
      <c r="B42" s="208"/>
      <c r="C42" s="208"/>
      <c r="D42" s="208"/>
      <c r="E42" s="208"/>
      <c r="F42" s="208"/>
      <c r="G42" s="208"/>
    </row>
    <row r="43" spans="1:7">
      <c r="A43" s="208"/>
      <c r="B43" s="208"/>
      <c r="C43" s="208"/>
      <c r="D43" s="208"/>
      <c r="E43" s="208"/>
      <c r="F43" s="208"/>
      <c r="G43" s="208"/>
    </row>
    <row r="44" spans="1:7">
      <c r="A44" s="208"/>
      <c r="B44" s="208"/>
      <c r="C44" s="208"/>
      <c r="D44" s="208"/>
      <c r="E44" s="208"/>
      <c r="F44" s="208"/>
      <c r="G44" s="208"/>
    </row>
    <row r="45" spans="1:7">
      <c r="A45" s="208"/>
      <c r="B45" s="208"/>
      <c r="C45" s="208"/>
      <c r="D45" s="208"/>
      <c r="E45" s="208"/>
      <c r="F45" s="208"/>
      <c r="G45" s="208"/>
    </row>
    <row r="46" spans="1:7">
      <c r="A46" s="208"/>
      <c r="B46" s="208"/>
      <c r="C46" s="208"/>
      <c r="D46" s="208"/>
      <c r="E46" s="208"/>
      <c r="F46" s="208"/>
      <c r="G46" s="208"/>
    </row>
    <row r="47" spans="1:7">
      <c r="A47" s="208"/>
      <c r="B47" s="208"/>
      <c r="C47" s="208"/>
      <c r="D47" s="208"/>
      <c r="E47" s="208"/>
      <c r="F47" s="208"/>
      <c r="G47" s="208"/>
    </row>
    <row r="48" spans="1:7">
      <c r="A48" s="208"/>
      <c r="B48" s="208"/>
      <c r="C48" s="208"/>
      <c r="D48" s="208"/>
      <c r="E48" s="208"/>
      <c r="F48" s="208"/>
      <c r="G48" s="208"/>
    </row>
    <row r="49" spans="1:7">
      <c r="A49" s="208"/>
      <c r="B49" s="208"/>
      <c r="C49" s="208"/>
      <c r="D49" s="208"/>
      <c r="E49" s="208"/>
      <c r="F49" s="208"/>
      <c r="G49" s="208"/>
    </row>
    <row r="50" spans="1:7">
      <c r="A50" s="208"/>
      <c r="B50" s="208"/>
      <c r="C50" s="208"/>
      <c r="D50" s="208"/>
      <c r="E50" s="208"/>
      <c r="F50" s="208"/>
      <c r="G50" s="208"/>
    </row>
    <row r="51" spans="1:7">
      <c r="A51" s="208"/>
      <c r="B51" s="208"/>
      <c r="C51" s="208"/>
      <c r="D51" s="208"/>
      <c r="E51" s="208"/>
      <c r="F51" s="208"/>
      <c r="G51" s="208"/>
    </row>
    <row r="52" spans="1:7">
      <c r="A52" s="208"/>
      <c r="B52" s="208"/>
      <c r="C52" s="208"/>
      <c r="D52" s="208"/>
      <c r="E52" s="208"/>
      <c r="F52" s="208"/>
      <c r="G52" s="208"/>
    </row>
    <row r="53" spans="1:7">
      <c r="A53" s="208"/>
      <c r="B53" s="208"/>
      <c r="C53" s="208"/>
      <c r="D53" s="208"/>
      <c r="E53" s="208"/>
      <c r="F53" s="208"/>
      <c r="G53" s="208"/>
    </row>
    <row r="54" spans="1:7">
      <c r="A54" s="208"/>
      <c r="B54" s="208"/>
      <c r="C54" s="208"/>
      <c r="D54" s="208"/>
      <c r="E54" s="208"/>
      <c r="F54" s="208"/>
      <c r="G54" s="208"/>
    </row>
    <row r="55" spans="1:7">
      <c r="A55" s="208"/>
      <c r="B55" s="208"/>
      <c r="C55" s="208"/>
      <c r="D55" s="208"/>
      <c r="E55" s="208"/>
      <c r="F55" s="208"/>
      <c r="G55" s="208"/>
    </row>
    <row r="56" spans="1:7">
      <c r="A56" s="208"/>
      <c r="B56" s="208"/>
      <c r="C56" s="208"/>
      <c r="D56" s="208"/>
      <c r="E56" s="208"/>
      <c r="F56" s="208"/>
      <c r="G56" s="208"/>
    </row>
    <row r="57" spans="1:7">
      <c r="A57" s="208"/>
      <c r="B57" s="208"/>
      <c r="C57" s="208"/>
      <c r="D57" s="208"/>
      <c r="E57" s="208"/>
      <c r="F57" s="208"/>
      <c r="G57" s="208"/>
    </row>
    <row r="58" spans="1:7">
      <c r="A58" s="208"/>
      <c r="B58" s="208"/>
      <c r="C58" s="208"/>
      <c r="D58" s="208"/>
      <c r="E58" s="208"/>
      <c r="F58" s="208"/>
      <c r="G58" s="208"/>
    </row>
    <row r="59" spans="1:7" ht="16.5">
      <c r="A59" s="306" t="s">
        <v>524</v>
      </c>
      <c r="B59" s="23"/>
      <c r="C59" s="208"/>
      <c r="D59" s="23"/>
      <c r="E59" s="23"/>
      <c r="F59" s="23"/>
      <c r="G59" s="23"/>
    </row>
    <row r="60" spans="1:7" ht="16.5">
      <c r="A60" s="23"/>
      <c r="B60" s="23"/>
      <c r="C60" s="208"/>
      <c r="D60" s="23"/>
      <c r="E60" s="23"/>
      <c r="F60" s="23"/>
      <c r="G60" s="23"/>
    </row>
    <row r="61" spans="1:7" ht="19.149999999999999" customHeight="1">
      <c r="A61" s="899" t="s">
        <v>525</v>
      </c>
      <c r="B61" s="899"/>
      <c r="C61" s="899"/>
      <c r="D61" s="899"/>
      <c r="E61" s="899" t="s">
        <v>526</v>
      </c>
      <c r="F61" s="899"/>
      <c r="G61" s="23"/>
    </row>
    <row r="62" spans="1:7" ht="23.45" customHeight="1">
      <c r="A62" s="671" t="s">
        <v>529</v>
      </c>
      <c r="B62" s="671"/>
      <c r="C62" s="671"/>
      <c r="D62" s="671"/>
      <c r="E62" s="895" t="s">
        <v>530</v>
      </c>
      <c r="F62" s="895"/>
      <c r="G62" s="23"/>
    </row>
    <row r="63" spans="1:7" ht="42" customHeight="1">
      <c r="A63" s="954" t="s">
        <v>593</v>
      </c>
      <c r="B63" s="954"/>
      <c r="C63" s="954"/>
      <c r="D63" s="954"/>
      <c r="E63" s="955">
        <v>0.74</v>
      </c>
      <c r="F63" s="956"/>
      <c r="G63" s="23"/>
    </row>
    <row r="64" spans="1:7" ht="23.45" customHeight="1">
      <c r="A64" s="899" t="s">
        <v>595</v>
      </c>
      <c r="B64" s="899"/>
      <c r="C64" s="899"/>
      <c r="D64" s="899"/>
      <c r="E64" s="899" t="s">
        <v>526</v>
      </c>
      <c r="F64" s="899"/>
      <c r="G64" s="46" t="s">
        <v>527</v>
      </c>
    </row>
    <row r="65" spans="1:7" ht="23.45" customHeight="1">
      <c r="A65" s="895" t="s">
        <v>596</v>
      </c>
      <c r="B65" s="895"/>
      <c r="C65" s="895"/>
      <c r="D65" s="895"/>
      <c r="E65" s="897">
        <v>44.3</v>
      </c>
      <c r="F65" s="897"/>
      <c r="G65" s="177" t="s">
        <v>539</v>
      </c>
    </row>
    <row r="66" spans="1:7" ht="23.45" customHeight="1">
      <c r="A66" s="895" t="s">
        <v>541</v>
      </c>
      <c r="B66" s="895"/>
      <c r="C66" s="895"/>
      <c r="D66" s="895"/>
      <c r="E66" s="898">
        <v>69300</v>
      </c>
      <c r="F66" s="898"/>
      <c r="G66" s="177" t="s">
        <v>542</v>
      </c>
    </row>
    <row r="67" spans="1:7" ht="23.45" customHeight="1">
      <c r="A67" s="895" t="s">
        <v>545</v>
      </c>
      <c r="B67" s="895"/>
      <c r="C67" s="895"/>
      <c r="D67" s="895"/>
      <c r="E67" s="896">
        <v>10</v>
      </c>
      <c r="F67" s="896"/>
      <c r="G67" s="177" t="s">
        <v>542</v>
      </c>
    </row>
    <row r="68" spans="1:7" ht="23.45" customHeight="1">
      <c r="A68" s="895" t="s">
        <v>547</v>
      </c>
      <c r="B68" s="895"/>
      <c r="C68" s="895"/>
      <c r="D68" s="895"/>
      <c r="E68" s="896">
        <v>0.6</v>
      </c>
      <c r="F68" s="896"/>
      <c r="G68" s="177" t="s">
        <v>542</v>
      </c>
    </row>
    <row r="69" spans="1:7" ht="23.45" customHeight="1">
      <c r="A69" s="895" t="s">
        <v>549</v>
      </c>
      <c r="B69" s="895"/>
      <c r="C69" s="895"/>
      <c r="D69" s="895"/>
      <c r="E69" s="896">
        <v>27.9</v>
      </c>
      <c r="F69" s="896"/>
      <c r="G69" s="177"/>
    </row>
    <row r="70" spans="1:7" ht="23.45" customHeight="1">
      <c r="A70" s="895" t="s">
        <v>551</v>
      </c>
      <c r="B70" s="895"/>
      <c r="C70" s="895"/>
      <c r="D70" s="895"/>
      <c r="E70" s="896">
        <v>273</v>
      </c>
      <c r="F70" s="896"/>
      <c r="G70" s="177"/>
    </row>
  </sheetData>
  <mergeCells count="44">
    <mergeCell ref="A28:G28"/>
    <mergeCell ref="A29:G29"/>
    <mergeCell ref="A30:G30"/>
    <mergeCell ref="A31:G31"/>
    <mergeCell ref="A32:G32"/>
    <mergeCell ref="A33:G33"/>
    <mergeCell ref="A34:D34"/>
    <mergeCell ref="F34:G34"/>
    <mergeCell ref="A35:D35"/>
    <mergeCell ref="F35:G35"/>
    <mergeCell ref="A36:D36"/>
    <mergeCell ref="F36:G36"/>
    <mergeCell ref="A37:D37"/>
    <mergeCell ref="F37:G37"/>
    <mergeCell ref="A61:D61"/>
    <mergeCell ref="E61:F61"/>
    <mergeCell ref="A62:D62"/>
    <mergeCell ref="E62:F62"/>
    <mergeCell ref="A63:D63"/>
    <mergeCell ref="E63:F63"/>
    <mergeCell ref="A64:D64"/>
    <mergeCell ref="E64:F64"/>
    <mergeCell ref="A65:D65"/>
    <mergeCell ref="E65:F65"/>
    <mergeCell ref="A66:D66"/>
    <mergeCell ref="E66:F66"/>
    <mergeCell ref="A67:D67"/>
    <mergeCell ref="E67:F67"/>
    <mergeCell ref="A68:D68"/>
    <mergeCell ref="E68:F68"/>
    <mergeCell ref="A69:D69"/>
    <mergeCell ref="E69:F69"/>
    <mergeCell ref="A70:D70"/>
    <mergeCell ref="E70:F70"/>
    <mergeCell ref="F10:F11"/>
    <mergeCell ref="G1:G3"/>
    <mergeCell ref="G10:G11"/>
    <mergeCell ref="C1:F3"/>
    <mergeCell ref="A1:B3"/>
    <mergeCell ref="A10:A11"/>
    <mergeCell ref="B10:B11"/>
    <mergeCell ref="C10:C11"/>
    <mergeCell ref="D10:D11"/>
    <mergeCell ref="E10:E11"/>
  </mergeCells>
  <pageMargins left="0.98425196850393704" right="0.59055118110236204" top="0.78740157480314998" bottom="0.78740157480314998" header="0.31496062992126" footer="0.31496062992126"/>
  <pageSetup scale="37"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pageSetUpPr fitToPage="1"/>
  </sheetPr>
  <dimension ref="A1:O42"/>
  <sheetViews>
    <sheetView topLeftCell="A20" zoomScale="80" zoomScaleNormal="80" workbookViewId="0">
      <selection activeCell="J1" sqref="J1:J3"/>
    </sheetView>
  </sheetViews>
  <sheetFormatPr defaultColWidth="9" defaultRowHeight="15"/>
  <cols>
    <col min="1" max="1" width="8.85546875" customWidth="1"/>
    <col min="2" max="2" width="17.42578125" customWidth="1"/>
    <col min="3" max="4" width="19" customWidth="1"/>
    <col min="5" max="9" width="19.28515625" customWidth="1"/>
    <col min="10" max="10" width="25.7109375" customWidth="1"/>
    <col min="13" max="13" width="22.28515625" style="278" customWidth="1"/>
    <col min="14" max="14" width="10.5703125" style="278" customWidth="1"/>
    <col min="15" max="15" width="24.85546875" style="278" customWidth="1"/>
  </cols>
  <sheetData>
    <row r="1" spans="1:15" ht="19.899999999999999" customHeight="1">
      <c r="A1" s="1004"/>
      <c r="B1" s="1004"/>
      <c r="C1" s="901" t="s">
        <v>696</v>
      </c>
      <c r="D1" s="944"/>
      <c r="E1" s="944"/>
      <c r="F1" s="944"/>
      <c r="G1" s="944"/>
      <c r="H1" s="944"/>
      <c r="I1" s="944"/>
      <c r="J1" s="780" t="s">
        <v>1117</v>
      </c>
    </row>
    <row r="2" spans="1:15" ht="28.5" customHeight="1">
      <c r="A2" s="1004"/>
      <c r="B2" s="1004"/>
      <c r="C2" s="903"/>
      <c r="D2" s="945"/>
      <c r="E2" s="945"/>
      <c r="F2" s="945"/>
      <c r="G2" s="945"/>
      <c r="H2" s="945"/>
      <c r="I2" s="945"/>
      <c r="J2" s="1003"/>
    </row>
    <row r="3" spans="1:15" ht="32.25" customHeight="1">
      <c r="A3" s="1004"/>
      <c r="B3" s="1004"/>
      <c r="C3" s="905"/>
      <c r="D3" s="946"/>
      <c r="E3" s="946"/>
      <c r="F3" s="946"/>
      <c r="G3" s="946"/>
      <c r="H3" s="946"/>
      <c r="I3" s="946"/>
      <c r="J3" s="1003"/>
    </row>
    <row r="4" spans="1:15" ht="19.5">
      <c r="A4" s="26" t="s">
        <v>697</v>
      </c>
      <c r="B4" s="23"/>
      <c r="C4" s="23"/>
      <c r="D4" s="23"/>
      <c r="E4" s="23"/>
      <c r="F4" s="23"/>
      <c r="G4" s="23"/>
      <c r="H4" s="23"/>
      <c r="I4" s="23"/>
      <c r="J4" s="24"/>
    </row>
    <row r="5" spans="1:15" ht="19.5">
      <c r="A5" s="25" t="s">
        <v>698</v>
      </c>
      <c r="B5" s="23"/>
      <c r="C5" s="23"/>
      <c r="D5" s="23"/>
      <c r="E5" s="23"/>
      <c r="F5" s="23"/>
      <c r="G5" s="23"/>
      <c r="H5" s="23"/>
      <c r="I5" s="23"/>
      <c r="J5" s="24"/>
    </row>
    <row r="6" spans="1:15" ht="19.5">
      <c r="A6" s="26" t="s">
        <v>699</v>
      </c>
      <c r="B6" s="23"/>
      <c r="C6" s="23"/>
      <c r="D6" s="23"/>
      <c r="E6" s="23"/>
      <c r="F6" s="23"/>
      <c r="G6" s="23"/>
      <c r="H6" s="23"/>
      <c r="I6" s="23"/>
      <c r="J6" s="24"/>
    </row>
    <row r="7" spans="1:15" ht="20.25" customHeight="1">
      <c r="A7" s="246" t="s">
        <v>493</v>
      </c>
      <c r="B7" s="94"/>
      <c r="C7" s="94"/>
      <c r="D7" s="94"/>
      <c r="E7" s="94"/>
      <c r="F7" s="94"/>
      <c r="G7" s="94"/>
      <c r="H7" s="94"/>
      <c r="I7" s="94"/>
      <c r="J7" s="93"/>
    </row>
    <row r="8" spans="1:15" ht="82.5">
      <c r="A8" s="28" t="s">
        <v>700</v>
      </c>
      <c r="B8" s="28" t="s">
        <v>494</v>
      </c>
      <c r="C8" s="28" t="s">
        <v>701</v>
      </c>
      <c r="D8" s="28" t="s">
        <v>702</v>
      </c>
      <c r="E8" s="28" t="s">
        <v>703</v>
      </c>
      <c r="F8" s="28" t="s">
        <v>704</v>
      </c>
      <c r="G8" s="28" t="s">
        <v>705</v>
      </c>
      <c r="H8" s="28" t="s">
        <v>706</v>
      </c>
      <c r="I8" s="28" t="s">
        <v>707</v>
      </c>
      <c r="J8" s="28" t="s">
        <v>708</v>
      </c>
      <c r="M8" s="288"/>
      <c r="N8" s="288"/>
      <c r="O8" s="288"/>
    </row>
    <row r="9" spans="1:15" ht="30.75" customHeight="1">
      <c r="A9" s="567" t="s">
        <v>510</v>
      </c>
      <c r="B9" s="567" t="s">
        <v>511</v>
      </c>
      <c r="C9" s="567" t="s">
        <v>575</v>
      </c>
      <c r="D9" s="567" t="s">
        <v>513</v>
      </c>
      <c r="E9" s="567" t="s">
        <v>577</v>
      </c>
      <c r="F9" s="567" t="s">
        <v>515</v>
      </c>
      <c r="G9" s="567" t="s">
        <v>516</v>
      </c>
      <c r="H9" s="567" t="s">
        <v>517</v>
      </c>
      <c r="I9" s="567" t="s">
        <v>640</v>
      </c>
      <c r="J9" s="30" t="s">
        <v>709</v>
      </c>
    </row>
    <row r="10" spans="1:15" ht="30.75" customHeight="1">
      <c r="A10" s="954">
        <v>1</v>
      </c>
      <c r="B10" s="30">
        <v>1</v>
      </c>
      <c r="C10" s="174">
        <v>8930</v>
      </c>
      <c r="D10" s="279">
        <v>0.999</v>
      </c>
      <c r="E10" s="174">
        <v>250</v>
      </c>
      <c r="F10" s="279">
        <v>0.999</v>
      </c>
      <c r="G10" s="174">
        <f>+C10*D10+E10*F10</f>
        <v>9170.82</v>
      </c>
      <c r="H10" s="174">
        <v>0.10108</v>
      </c>
      <c r="I10" s="174">
        <f>+G10-H10*1000</f>
        <v>9069.74</v>
      </c>
      <c r="J10" s="269">
        <f>+I10/1000</f>
        <v>9.0697399999999995</v>
      </c>
    </row>
    <row r="11" spans="1:15" ht="30.75" customHeight="1">
      <c r="A11" s="1002"/>
      <c r="B11" s="30">
        <v>2</v>
      </c>
      <c r="C11" s="174">
        <v>6000</v>
      </c>
      <c r="D11" s="279">
        <v>0.999</v>
      </c>
      <c r="E11" s="174">
        <v>100</v>
      </c>
      <c r="F11" s="279">
        <v>0.999</v>
      </c>
      <c r="G11" s="174">
        <f t="shared" ref="G11:G21" si="0">+C11*D11+E11*F11</f>
        <v>6093.9</v>
      </c>
      <c r="H11" s="174">
        <v>0.1444</v>
      </c>
      <c r="I11" s="174">
        <f t="shared" ref="I11:I21" si="1">+G11-H11*1000</f>
        <v>5949.5</v>
      </c>
      <c r="J11" s="269">
        <f t="shared" ref="J11:J21" si="2">+I11/1000</f>
        <v>5.9494999999999996</v>
      </c>
    </row>
    <row r="12" spans="1:15" ht="30.75" customHeight="1">
      <c r="A12" s="1002"/>
      <c r="B12" s="30">
        <v>3</v>
      </c>
      <c r="C12" s="174">
        <v>9395</v>
      </c>
      <c r="D12" s="279">
        <v>0.999</v>
      </c>
      <c r="E12" s="174">
        <v>150</v>
      </c>
      <c r="F12" s="279">
        <v>0.999</v>
      </c>
      <c r="G12" s="174">
        <f t="shared" si="0"/>
        <v>9535.4549999999999</v>
      </c>
      <c r="H12" s="174">
        <v>0.1444</v>
      </c>
      <c r="I12" s="174">
        <f t="shared" si="1"/>
        <v>9391.0550000000003</v>
      </c>
      <c r="J12" s="269">
        <f t="shared" si="2"/>
        <v>9.3910549999999997</v>
      </c>
    </row>
    <row r="13" spans="1:15" ht="30.75" customHeight="1">
      <c r="A13" s="1002"/>
      <c r="B13" s="30">
        <v>4</v>
      </c>
      <c r="C13" s="174">
        <v>7540</v>
      </c>
      <c r="D13" s="279">
        <v>0.999</v>
      </c>
      <c r="E13" s="174">
        <v>300</v>
      </c>
      <c r="F13" s="279">
        <v>0.999</v>
      </c>
      <c r="G13" s="174">
        <f t="shared" si="0"/>
        <v>7832.16</v>
      </c>
      <c r="H13" s="174">
        <v>0.141512</v>
      </c>
      <c r="I13" s="174">
        <f t="shared" si="1"/>
        <v>7690.6480000000001</v>
      </c>
      <c r="J13" s="269">
        <f t="shared" si="2"/>
        <v>7.6906480000000004</v>
      </c>
    </row>
    <row r="14" spans="1:15" ht="30.75" customHeight="1">
      <c r="A14" s="1002"/>
      <c r="B14" s="30">
        <v>5</v>
      </c>
      <c r="C14" s="174">
        <v>18130</v>
      </c>
      <c r="D14" s="279">
        <v>0.999</v>
      </c>
      <c r="E14" s="174">
        <v>500</v>
      </c>
      <c r="F14" s="279">
        <v>0.999</v>
      </c>
      <c r="G14" s="174">
        <f t="shared" si="0"/>
        <v>18611.37</v>
      </c>
      <c r="H14" s="174">
        <v>0.1444</v>
      </c>
      <c r="I14" s="174">
        <f t="shared" si="1"/>
        <v>18466.969999999998</v>
      </c>
      <c r="J14" s="269">
        <f t="shared" si="2"/>
        <v>18.466969999999996</v>
      </c>
    </row>
    <row r="15" spans="1:15" ht="30.75" customHeight="1">
      <c r="A15" s="1002"/>
      <c r="B15" s="30">
        <v>6</v>
      </c>
      <c r="C15" s="174">
        <v>11570</v>
      </c>
      <c r="D15" s="279">
        <v>0.999</v>
      </c>
      <c r="E15" s="174">
        <v>250</v>
      </c>
      <c r="F15" s="279">
        <v>0.999</v>
      </c>
      <c r="G15" s="174">
        <f t="shared" si="0"/>
        <v>11808.18</v>
      </c>
      <c r="H15" s="174">
        <v>0.1444</v>
      </c>
      <c r="I15" s="174">
        <f t="shared" si="1"/>
        <v>11663.78</v>
      </c>
      <c r="J15" s="269">
        <f t="shared" si="2"/>
        <v>11.663780000000001</v>
      </c>
    </row>
    <row r="16" spans="1:15" ht="30.75" customHeight="1">
      <c r="A16" s="1002"/>
      <c r="B16" s="30">
        <v>7</v>
      </c>
      <c r="C16" s="174">
        <v>7800</v>
      </c>
      <c r="D16" s="279">
        <v>0.999</v>
      </c>
      <c r="E16" s="174">
        <v>200</v>
      </c>
      <c r="F16" s="279">
        <v>0.999</v>
      </c>
      <c r="G16" s="174">
        <f t="shared" si="0"/>
        <v>7992</v>
      </c>
      <c r="H16" s="174">
        <v>7.22E-2</v>
      </c>
      <c r="I16" s="174">
        <f t="shared" si="1"/>
        <v>7919.8</v>
      </c>
      <c r="J16" s="269">
        <f t="shared" si="2"/>
        <v>7.9198000000000004</v>
      </c>
    </row>
    <row r="17" spans="1:15" ht="30.75" customHeight="1">
      <c r="A17" s="1002"/>
      <c r="B17" s="30">
        <v>8</v>
      </c>
      <c r="C17" s="174">
        <v>9000</v>
      </c>
      <c r="D17" s="279">
        <v>0.999</v>
      </c>
      <c r="E17" s="174">
        <v>350</v>
      </c>
      <c r="F17" s="279">
        <v>0.999</v>
      </c>
      <c r="G17" s="174">
        <f t="shared" si="0"/>
        <v>9340.65</v>
      </c>
      <c r="H17" s="174">
        <v>0</v>
      </c>
      <c r="I17" s="174">
        <f t="shared" si="1"/>
        <v>9340.65</v>
      </c>
      <c r="J17" s="269">
        <f t="shared" si="2"/>
        <v>9.3406500000000001</v>
      </c>
    </row>
    <row r="18" spans="1:15" ht="30.75" customHeight="1">
      <c r="A18" s="1002"/>
      <c r="B18" s="30">
        <v>9</v>
      </c>
      <c r="C18" s="174">
        <v>15000</v>
      </c>
      <c r="D18" s="279">
        <v>0.999</v>
      </c>
      <c r="E18" s="174">
        <v>150</v>
      </c>
      <c r="F18" s="279">
        <v>0.999</v>
      </c>
      <c r="G18" s="174">
        <f t="shared" si="0"/>
        <v>15134.85</v>
      </c>
      <c r="H18" s="174">
        <v>2.8879999999999999E-2</v>
      </c>
      <c r="I18" s="174">
        <f t="shared" si="1"/>
        <v>15105.970000000001</v>
      </c>
      <c r="J18" s="269">
        <f t="shared" si="2"/>
        <v>15.105970000000001</v>
      </c>
    </row>
    <row r="19" spans="1:15" ht="30.75" customHeight="1">
      <c r="A19" s="1002"/>
      <c r="B19" s="30">
        <v>10</v>
      </c>
      <c r="C19" s="174">
        <v>7600</v>
      </c>
      <c r="D19" s="279">
        <v>0.999</v>
      </c>
      <c r="E19" s="174">
        <v>425</v>
      </c>
      <c r="F19" s="279">
        <v>0.999</v>
      </c>
      <c r="G19" s="174">
        <f t="shared" si="0"/>
        <v>8016.9749999999995</v>
      </c>
      <c r="H19" s="174">
        <v>7.22E-2</v>
      </c>
      <c r="I19" s="174">
        <f t="shared" si="1"/>
        <v>7944.7749999999996</v>
      </c>
      <c r="J19" s="269">
        <f t="shared" si="2"/>
        <v>7.9447749999999999</v>
      </c>
    </row>
    <row r="20" spans="1:15" ht="30.75" customHeight="1">
      <c r="A20" s="1002"/>
      <c r="B20" s="30">
        <v>11</v>
      </c>
      <c r="C20" s="174">
        <v>8000</v>
      </c>
      <c r="D20" s="279">
        <v>0.999</v>
      </c>
      <c r="E20" s="174">
        <v>125</v>
      </c>
      <c r="F20" s="279">
        <v>0.999</v>
      </c>
      <c r="G20" s="174">
        <f t="shared" si="0"/>
        <v>8116.875</v>
      </c>
      <c r="H20" s="174">
        <v>7.22E-2</v>
      </c>
      <c r="I20" s="174">
        <f t="shared" si="1"/>
        <v>8044.6750000000002</v>
      </c>
      <c r="J20" s="269">
        <f t="shared" si="2"/>
        <v>8.0446749999999998</v>
      </c>
    </row>
    <row r="21" spans="1:15" ht="30.75" customHeight="1">
      <c r="A21" s="918"/>
      <c r="B21" s="30">
        <v>12</v>
      </c>
      <c r="C21" s="174">
        <v>7500</v>
      </c>
      <c r="D21" s="279">
        <v>0.999</v>
      </c>
      <c r="E21" s="174">
        <v>200</v>
      </c>
      <c r="F21" s="279">
        <v>0.999</v>
      </c>
      <c r="G21" s="174">
        <f t="shared" si="0"/>
        <v>7692.3</v>
      </c>
      <c r="H21" s="174">
        <v>2.8879999999999999E-2</v>
      </c>
      <c r="I21" s="174">
        <f t="shared" si="1"/>
        <v>7663.42</v>
      </c>
      <c r="J21" s="269">
        <f t="shared" si="2"/>
        <v>7.6634200000000003</v>
      </c>
    </row>
    <row r="22" spans="1:15" ht="30.75" customHeight="1">
      <c r="A22" s="923" t="s">
        <v>469</v>
      </c>
      <c r="B22" s="925"/>
      <c r="C22" s="280">
        <f>SUM(C10:C21)</f>
        <v>116465</v>
      </c>
      <c r="D22" s="280"/>
      <c r="E22" s="280">
        <f t="shared" ref="E22:J22" si="3">SUM(E10:E21)</f>
        <v>3000</v>
      </c>
      <c r="F22" s="280"/>
      <c r="G22" s="280">
        <f t="shared" si="3"/>
        <v>119345.53500000002</v>
      </c>
      <c r="H22" s="281">
        <f t="shared" si="3"/>
        <v>1.094552</v>
      </c>
      <c r="I22" s="281">
        <f t="shared" si="3"/>
        <v>118250.98299999999</v>
      </c>
      <c r="J22" s="106">
        <f t="shared" si="3"/>
        <v>118.25098300000001</v>
      </c>
    </row>
    <row r="23" spans="1:15" ht="6" hidden="1" customHeight="1">
      <c r="A23" s="282"/>
      <c r="B23" s="282"/>
      <c r="C23" s="282"/>
      <c r="D23" s="282"/>
      <c r="E23" s="282"/>
      <c r="F23" s="282"/>
      <c r="H23" s="283">
        <f>+H22*1000</f>
        <v>1094.5519999999999</v>
      </c>
      <c r="I23" s="283"/>
      <c r="J23" s="282"/>
    </row>
    <row r="24" spans="1:15" ht="16.5">
      <c r="A24" s="282"/>
      <c r="B24" s="282"/>
      <c r="C24" s="282"/>
      <c r="D24" s="282"/>
      <c r="E24" s="282"/>
      <c r="F24" s="282"/>
      <c r="G24" s="282"/>
      <c r="H24" s="282"/>
      <c r="I24" s="282"/>
      <c r="J24" s="282"/>
    </row>
    <row r="25" spans="1:15" ht="16.5">
      <c r="A25" s="961" t="s">
        <v>524</v>
      </c>
      <c r="B25" s="962"/>
      <c r="C25" s="962"/>
      <c r="D25" s="962"/>
      <c r="E25" s="962"/>
      <c r="F25" s="962"/>
      <c r="G25" s="962"/>
      <c r="H25" s="962"/>
      <c r="I25" s="962"/>
      <c r="J25" s="963"/>
    </row>
    <row r="26" spans="1:15" s="58" customFormat="1" ht="25.9" customHeight="1">
      <c r="A26" s="1005" t="s">
        <v>613</v>
      </c>
      <c r="B26" s="681"/>
      <c r="C26" s="681"/>
      <c r="D26" s="681"/>
      <c r="E26" s="681"/>
      <c r="F26" s="681"/>
      <c r="G26" s="681"/>
      <c r="H26" s="681"/>
      <c r="I26" s="681"/>
      <c r="J26" s="1006"/>
      <c r="M26" s="20"/>
      <c r="N26" s="20"/>
      <c r="O26" s="20"/>
    </row>
    <row r="27" spans="1:15" s="58" customFormat="1" ht="25.9" customHeight="1">
      <c r="A27" s="1005" t="s">
        <v>614</v>
      </c>
      <c r="B27" s="681"/>
      <c r="C27" s="681"/>
      <c r="D27" s="681"/>
      <c r="E27" s="681"/>
      <c r="F27" s="681"/>
      <c r="G27" s="681"/>
      <c r="H27" s="681"/>
      <c r="I27" s="681"/>
      <c r="J27" s="1006"/>
      <c r="M27" s="20"/>
      <c r="N27" s="20"/>
      <c r="O27" s="20"/>
    </row>
    <row r="28" spans="1:15" s="58" customFormat="1" ht="25.9" customHeight="1">
      <c r="A28" s="1005" t="s">
        <v>710</v>
      </c>
      <c r="B28" s="681"/>
      <c r="C28" s="681"/>
      <c r="D28" s="681"/>
      <c r="E28" s="681"/>
      <c r="F28" s="681"/>
      <c r="G28" s="681"/>
      <c r="H28" s="681"/>
      <c r="I28" s="681"/>
      <c r="J28" s="1006"/>
      <c r="M28" s="20"/>
      <c r="N28" s="20"/>
      <c r="O28" s="20"/>
    </row>
    <row r="29" spans="1:15" s="58" customFormat="1" ht="25.9" customHeight="1">
      <c r="A29" s="1005" t="s">
        <v>616</v>
      </c>
      <c r="B29" s="681"/>
      <c r="C29" s="681"/>
      <c r="D29" s="681"/>
      <c r="E29" s="681"/>
      <c r="F29" s="681"/>
      <c r="G29" s="681"/>
      <c r="H29" s="681"/>
      <c r="I29" s="681"/>
      <c r="J29" s="1006"/>
      <c r="M29" s="20"/>
      <c r="N29" s="20"/>
      <c r="O29" s="20"/>
    </row>
    <row r="30" spans="1:15" s="58" customFormat="1" ht="25.9" customHeight="1">
      <c r="A30" s="1005" t="s">
        <v>711</v>
      </c>
      <c r="B30" s="681"/>
      <c r="C30" s="681"/>
      <c r="D30" s="681"/>
      <c r="E30" s="681"/>
      <c r="F30" s="681"/>
      <c r="G30" s="681"/>
      <c r="H30" s="681"/>
      <c r="I30" s="681"/>
      <c r="J30" s="1006"/>
      <c r="M30" s="20"/>
      <c r="N30" s="20"/>
      <c r="O30" s="20"/>
    </row>
    <row r="31" spans="1:15" s="58" customFormat="1" ht="25.9" customHeight="1">
      <c r="A31" s="1007" t="s">
        <v>712</v>
      </c>
      <c r="B31" s="681"/>
      <c r="C31" s="681"/>
      <c r="D31" s="681"/>
      <c r="E31" s="681"/>
      <c r="F31" s="681"/>
      <c r="G31" s="681"/>
      <c r="H31" s="681"/>
      <c r="I31" s="681"/>
      <c r="J31" s="1006"/>
      <c r="M31" s="20"/>
      <c r="N31" s="20"/>
      <c r="O31" s="20"/>
    </row>
    <row r="32" spans="1:15" s="58" customFormat="1" ht="25.9" customHeight="1">
      <c r="A32" s="1005" t="s">
        <v>713</v>
      </c>
      <c r="B32" s="681"/>
      <c r="C32" s="681"/>
      <c r="D32" s="681"/>
      <c r="E32" s="681"/>
      <c r="F32" s="681"/>
      <c r="G32" s="681"/>
      <c r="H32" s="681"/>
      <c r="I32" s="681"/>
      <c r="J32" s="1006"/>
      <c r="M32" s="20"/>
      <c r="N32" s="20"/>
      <c r="O32" s="20"/>
    </row>
    <row r="33" spans="1:15" s="58" customFormat="1" ht="25.9" customHeight="1">
      <c r="A33" s="1007" t="s">
        <v>714</v>
      </c>
      <c r="B33" s="681"/>
      <c r="C33" s="681"/>
      <c r="D33" s="681"/>
      <c r="E33" s="681"/>
      <c r="F33" s="681"/>
      <c r="G33" s="681"/>
      <c r="H33" s="681"/>
      <c r="I33" s="681"/>
      <c r="J33" s="1006"/>
      <c r="M33" s="20"/>
      <c r="N33" s="20"/>
      <c r="O33" s="20"/>
    </row>
    <row r="34" spans="1:15" s="58" customFormat="1" ht="25.9" customHeight="1">
      <c r="A34" s="1005" t="s">
        <v>715</v>
      </c>
      <c r="B34" s="681"/>
      <c r="C34" s="681"/>
      <c r="D34" s="681"/>
      <c r="E34" s="681"/>
      <c r="F34" s="681"/>
      <c r="G34" s="681"/>
      <c r="H34" s="681"/>
      <c r="I34" s="681"/>
      <c r="J34" s="1006"/>
      <c r="M34" s="20"/>
      <c r="N34" s="20"/>
      <c r="O34" s="20"/>
    </row>
    <row r="35" spans="1:15" s="58" customFormat="1" ht="25.9" customHeight="1">
      <c r="A35" s="1007" t="s">
        <v>716</v>
      </c>
      <c r="B35" s="681"/>
      <c r="C35" s="681"/>
      <c r="D35" s="681"/>
      <c r="E35" s="681"/>
      <c r="F35" s="681"/>
      <c r="G35" s="681"/>
      <c r="H35" s="681"/>
      <c r="I35" s="681"/>
      <c r="J35" s="1006"/>
      <c r="M35" s="20"/>
      <c r="N35" s="20"/>
      <c r="O35" s="20"/>
    </row>
    <row r="36" spans="1:15" ht="16.5" hidden="1">
      <c r="A36" s="249"/>
      <c r="B36" s="23"/>
      <c r="C36" s="23"/>
      <c r="D36" s="23"/>
      <c r="E36" s="23"/>
      <c r="F36" s="23"/>
      <c r="G36" s="284">
        <f>+(7500/(23*2+28+16*3))*44</f>
        <v>2704.9180327868853</v>
      </c>
      <c r="H36" s="23"/>
      <c r="I36" s="23"/>
      <c r="J36" s="24"/>
    </row>
    <row r="37" spans="1:15">
      <c r="A37" s="285"/>
      <c r="B37" s="286"/>
      <c r="C37" s="286"/>
      <c r="D37" s="286"/>
      <c r="E37" s="286"/>
      <c r="F37" s="286"/>
      <c r="G37" s="286"/>
      <c r="H37" s="286"/>
      <c r="I37" s="286"/>
      <c r="J37" s="289"/>
    </row>
    <row r="38" spans="1:15" s="18" customFormat="1" ht="23.45" customHeight="1">
      <c r="A38" s="951" t="s">
        <v>585</v>
      </c>
      <c r="B38" s="952"/>
      <c r="C38" s="952"/>
      <c r="D38" s="953"/>
      <c r="E38" s="951" t="s">
        <v>526</v>
      </c>
      <c r="F38" s="952"/>
      <c r="G38" s="953"/>
      <c r="H38" s="965" t="s">
        <v>586</v>
      </c>
      <c r="I38" s="965"/>
      <c r="J38" s="995"/>
      <c r="M38" s="20"/>
      <c r="N38" s="20"/>
      <c r="O38" s="20"/>
    </row>
    <row r="39" spans="1:15" s="18" customFormat="1" ht="23.45" customHeight="1">
      <c r="A39" s="915" t="s">
        <v>587</v>
      </c>
      <c r="B39" s="916"/>
      <c r="C39" s="916"/>
      <c r="D39" s="917"/>
      <c r="E39" s="977">
        <v>12</v>
      </c>
      <c r="F39" s="977"/>
      <c r="G39" s="977"/>
      <c r="H39" s="895"/>
      <c r="I39" s="895"/>
      <c r="J39" s="895"/>
      <c r="M39" s="20"/>
      <c r="N39" s="20"/>
      <c r="O39" s="20"/>
    </row>
    <row r="40" spans="1:15" s="18" customFormat="1" ht="23.45" customHeight="1">
      <c r="A40" s="915" t="s">
        <v>588</v>
      </c>
      <c r="B40" s="916"/>
      <c r="C40" s="916"/>
      <c r="D40" s="917"/>
      <c r="E40" s="977">
        <v>16</v>
      </c>
      <c r="F40" s="977"/>
      <c r="G40" s="977"/>
      <c r="H40" s="895"/>
      <c r="I40" s="895"/>
      <c r="J40" s="895"/>
      <c r="M40" s="20"/>
      <c r="N40" s="20"/>
      <c r="O40" s="20"/>
    </row>
    <row r="41" spans="1:15" s="18" customFormat="1" ht="23.45" customHeight="1">
      <c r="A41" s="915" t="s">
        <v>619</v>
      </c>
      <c r="B41" s="916"/>
      <c r="C41" s="916"/>
      <c r="D41" s="917"/>
      <c r="E41" s="977">
        <v>23</v>
      </c>
      <c r="F41" s="977"/>
      <c r="G41" s="977"/>
      <c r="H41" s="895"/>
      <c r="I41" s="895"/>
      <c r="J41" s="895"/>
      <c r="M41" s="20"/>
      <c r="N41" s="20"/>
      <c r="O41" s="20"/>
    </row>
    <row r="42" spans="1:15" s="18" customFormat="1" ht="23.45" customHeight="1">
      <c r="A42" s="915" t="s">
        <v>620</v>
      </c>
      <c r="B42" s="916"/>
      <c r="C42" s="916"/>
      <c r="D42" s="917"/>
      <c r="E42" s="977">
        <v>28</v>
      </c>
      <c r="F42" s="977"/>
      <c r="G42" s="977"/>
      <c r="H42" s="895"/>
      <c r="I42" s="895"/>
      <c r="J42" s="895"/>
      <c r="M42" s="20"/>
      <c r="N42" s="20"/>
      <c r="O42" s="20"/>
    </row>
  </sheetData>
  <mergeCells count="31">
    <mergeCell ref="A33:J33"/>
    <mergeCell ref="A22:B22"/>
    <mergeCell ref="A25:J25"/>
    <mergeCell ref="A26:J26"/>
    <mergeCell ref="A27:J27"/>
    <mergeCell ref="A28:J28"/>
    <mergeCell ref="A42:D42"/>
    <mergeCell ref="E42:G42"/>
    <mergeCell ref="H42:J42"/>
    <mergeCell ref="A39:D39"/>
    <mergeCell ref="E39:G39"/>
    <mergeCell ref="H39:J39"/>
    <mergeCell ref="A40:D40"/>
    <mergeCell ref="E40:G40"/>
    <mergeCell ref="H40:J40"/>
    <mergeCell ref="A10:A21"/>
    <mergeCell ref="J1:J3"/>
    <mergeCell ref="A1:B3"/>
    <mergeCell ref="C1:I3"/>
    <mergeCell ref="A41:D41"/>
    <mergeCell ref="E41:G41"/>
    <mergeCell ref="H41:J41"/>
    <mergeCell ref="A34:J34"/>
    <mergeCell ref="A35:J35"/>
    <mergeCell ref="A38:D38"/>
    <mergeCell ref="E38:G38"/>
    <mergeCell ref="H38:J38"/>
    <mergeCell ref="A29:J29"/>
    <mergeCell ref="A30:J30"/>
    <mergeCell ref="A31:J31"/>
    <mergeCell ref="A32:J32"/>
  </mergeCells>
  <pageMargins left="0.98425196850393704" right="0.59055118110236204" top="0.78740157480314998" bottom="0.78740157480314998" header="0.31496062992126" footer="0.31496062992126"/>
  <pageSetup paperSize="9" scale="45"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pageSetUpPr fitToPage="1"/>
  </sheetPr>
  <dimension ref="A1:N42"/>
  <sheetViews>
    <sheetView topLeftCell="D10" zoomScale="110" zoomScaleNormal="110" workbookViewId="0">
      <selection activeCell="M1" sqref="M1:N3"/>
    </sheetView>
  </sheetViews>
  <sheetFormatPr defaultColWidth="9.28515625" defaultRowHeight="14.25"/>
  <cols>
    <col min="1" max="1" width="10.28515625" style="18" customWidth="1"/>
    <col min="2" max="2" width="18.7109375" style="18" customWidth="1"/>
    <col min="3" max="3" width="14" style="18" customWidth="1"/>
    <col min="4" max="4" width="13" style="18" customWidth="1"/>
    <col min="5" max="5" width="13.140625" style="18" customWidth="1"/>
    <col min="6" max="7" width="12.28515625" style="18" customWidth="1"/>
    <col min="8" max="8" width="9.28515625" style="18" customWidth="1"/>
    <col min="9" max="9" width="14.7109375" style="18" customWidth="1"/>
    <col min="10" max="10" width="16.28515625" style="18" customWidth="1"/>
    <col min="11" max="11" width="17.140625" style="18" customWidth="1"/>
    <col min="12" max="12" width="14" style="18" customWidth="1"/>
    <col min="13" max="13" width="12.85546875" style="18" customWidth="1"/>
    <col min="14" max="14" width="21.7109375" style="18" customWidth="1"/>
    <col min="15" max="15" width="23.28515625" style="18" customWidth="1"/>
    <col min="16" max="16384" width="9.28515625" style="18"/>
  </cols>
  <sheetData>
    <row r="1" spans="1:14" ht="25.9" customHeight="1">
      <c r="A1" s="926"/>
      <c r="B1" s="926"/>
      <c r="C1" s="901" t="s">
        <v>717</v>
      </c>
      <c r="D1" s="944"/>
      <c r="E1" s="944"/>
      <c r="F1" s="944"/>
      <c r="G1" s="944"/>
      <c r="H1" s="944"/>
      <c r="I1" s="944"/>
      <c r="J1" s="944"/>
      <c r="K1" s="944"/>
      <c r="L1" s="902"/>
      <c r="M1" s="901" t="s">
        <v>1118</v>
      </c>
      <c r="N1" s="902"/>
    </row>
    <row r="2" spans="1:14" ht="25.9" customHeight="1">
      <c r="A2" s="926"/>
      <c r="B2" s="926"/>
      <c r="C2" s="903"/>
      <c r="D2" s="945"/>
      <c r="E2" s="945"/>
      <c r="F2" s="945"/>
      <c r="G2" s="945"/>
      <c r="H2" s="945"/>
      <c r="I2" s="945"/>
      <c r="J2" s="945"/>
      <c r="K2" s="945"/>
      <c r="L2" s="904"/>
      <c r="M2" s="903"/>
      <c r="N2" s="904"/>
    </row>
    <row r="3" spans="1:14" ht="25.9" customHeight="1">
      <c r="A3" s="926"/>
      <c r="B3" s="926"/>
      <c r="C3" s="905"/>
      <c r="D3" s="946"/>
      <c r="E3" s="946"/>
      <c r="F3" s="946"/>
      <c r="G3" s="946"/>
      <c r="H3" s="946"/>
      <c r="I3" s="946"/>
      <c r="J3" s="946"/>
      <c r="K3" s="946"/>
      <c r="L3" s="906"/>
      <c r="M3" s="905"/>
      <c r="N3" s="906"/>
    </row>
    <row r="4" spans="1:14">
      <c r="A4" s="267"/>
      <c r="B4" s="208"/>
      <c r="C4" s="208"/>
      <c r="D4" s="208"/>
      <c r="E4" s="208"/>
      <c r="F4" s="208"/>
      <c r="G4" s="208"/>
      <c r="H4" s="208"/>
      <c r="I4" s="208"/>
      <c r="J4" s="208"/>
      <c r="K4" s="208"/>
      <c r="L4" s="208"/>
      <c r="M4" s="208"/>
      <c r="N4" s="209"/>
    </row>
    <row r="5" spans="1:14" ht="16.5">
      <c r="A5" s="91" t="s">
        <v>718</v>
      </c>
      <c r="B5" s="23"/>
      <c r="C5" s="23"/>
      <c r="D5" s="23"/>
      <c r="E5" s="23"/>
      <c r="F5" s="23"/>
      <c r="G5" s="23"/>
      <c r="H5" s="23"/>
      <c r="I5" s="23"/>
      <c r="J5" s="23"/>
      <c r="K5" s="23"/>
      <c r="L5" s="23"/>
      <c r="M5" s="23"/>
      <c r="N5" s="24"/>
    </row>
    <row r="6" spans="1:14" ht="19.5">
      <c r="A6" s="26" t="s">
        <v>491</v>
      </c>
      <c r="B6" s="23"/>
      <c r="C6" s="23"/>
      <c r="D6" s="23"/>
      <c r="E6" s="23"/>
      <c r="F6" s="23"/>
      <c r="G6" s="23"/>
      <c r="H6" s="23"/>
      <c r="I6" s="23"/>
      <c r="J6" s="23"/>
      <c r="K6" s="23"/>
      <c r="L6" s="23"/>
      <c r="M6" s="23"/>
      <c r="N6" s="24"/>
    </row>
    <row r="7" spans="1:14" ht="19.5">
      <c r="A7" s="26" t="s">
        <v>492</v>
      </c>
      <c r="B7" s="23"/>
      <c r="C7" s="23"/>
      <c r="D7" s="23"/>
      <c r="E7" s="23"/>
      <c r="F7" s="23"/>
      <c r="G7" s="23"/>
      <c r="H7" s="23"/>
      <c r="I7" s="23"/>
      <c r="J7" s="23"/>
      <c r="K7" s="23"/>
      <c r="L7" s="23"/>
      <c r="M7" s="23"/>
      <c r="N7" s="24"/>
    </row>
    <row r="8" spans="1:14" ht="16.5">
      <c r="A8" s="27" t="s">
        <v>493</v>
      </c>
      <c r="B8" s="23"/>
      <c r="C8" s="23"/>
      <c r="D8" s="23"/>
      <c r="E8" s="23"/>
      <c r="F8" s="23"/>
      <c r="G8" s="23"/>
      <c r="H8" s="23"/>
      <c r="I8" s="23"/>
      <c r="J8" s="23"/>
      <c r="K8" s="23"/>
      <c r="L8" s="23"/>
      <c r="M8" s="23"/>
      <c r="N8" s="24"/>
    </row>
    <row r="9" spans="1:14" ht="16.5">
      <c r="A9" s="92"/>
      <c r="B9" s="94"/>
      <c r="C9" s="94"/>
      <c r="D9" s="94"/>
      <c r="E9" s="94"/>
      <c r="F9" s="94"/>
      <c r="G9" s="94"/>
      <c r="H9" s="94"/>
      <c r="I9" s="94"/>
      <c r="J9" s="94"/>
      <c r="K9" s="94"/>
      <c r="L9" s="94"/>
      <c r="M9" s="94"/>
      <c r="N9" s="93"/>
    </row>
    <row r="10" spans="1:14" ht="66.599999999999994" customHeight="1">
      <c r="A10" s="675" t="s">
        <v>494</v>
      </c>
      <c r="B10" s="675" t="s">
        <v>591</v>
      </c>
      <c r="C10" s="675" t="s">
        <v>555</v>
      </c>
      <c r="D10" s="675" t="s">
        <v>556</v>
      </c>
      <c r="E10" s="675" t="s">
        <v>557</v>
      </c>
      <c r="F10" s="923" t="s">
        <v>499</v>
      </c>
      <c r="G10" s="924"/>
      <c r="H10" s="925"/>
      <c r="I10" s="923" t="s">
        <v>500</v>
      </c>
      <c r="J10" s="924"/>
      <c r="K10" s="925"/>
      <c r="L10" s="675" t="s">
        <v>503</v>
      </c>
      <c r="M10" s="675" t="s">
        <v>504</v>
      </c>
      <c r="N10" s="675" t="s">
        <v>505</v>
      </c>
    </row>
    <row r="11" spans="1:14" ht="51">
      <c r="A11" s="676"/>
      <c r="B11" s="676"/>
      <c r="C11" s="676"/>
      <c r="D11" s="676"/>
      <c r="E11" s="676"/>
      <c r="F11" s="28" t="s">
        <v>506</v>
      </c>
      <c r="G11" s="28" t="s">
        <v>507</v>
      </c>
      <c r="H11" s="28" t="s">
        <v>508</v>
      </c>
      <c r="I11" s="28" t="s">
        <v>509</v>
      </c>
      <c r="J11" s="28" t="s">
        <v>501</v>
      </c>
      <c r="K11" s="28" t="s">
        <v>502</v>
      </c>
      <c r="L11" s="676"/>
      <c r="M11" s="676"/>
      <c r="N11" s="676"/>
    </row>
    <row r="12" spans="1:14" ht="49.5">
      <c r="A12" s="567" t="s">
        <v>510</v>
      </c>
      <c r="B12" s="567" t="s">
        <v>511</v>
      </c>
      <c r="C12" s="567" t="s">
        <v>512</v>
      </c>
      <c r="D12" s="567" t="s">
        <v>513</v>
      </c>
      <c r="E12" s="30" t="s">
        <v>514</v>
      </c>
      <c r="F12" s="567" t="s">
        <v>515</v>
      </c>
      <c r="G12" s="567" t="s">
        <v>516</v>
      </c>
      <c r="H12" s="567" t="s">
        <v>517</v>
      </c>
      <c r="I12" s="30" t="s">
        <v>518</v>
      </c>
      <c r="J12" s="30" t="s">
        <v>519</v>
      </c>
      <c r="K12" s="30" t="s">
        <v>520</v>
      </c>
      <c r="L12" s="576" t="s">
        <v>521</v>
      </c>
      <c r="M12" s="576" t="s">
        <v>522</v>
      </c>
      <c r="N12" s="30" t="s">
        <v>523</v>
      </c>
    </row>
    <row r="13" spans="1:14" ht="32.25" customHeight="1">
      <c r="A13" s="30">
        <v>1</v>
      </c>
      <c r="B13" s="32">
        <v>1466</v>
      </c>
      <c r="C13" s="30">
        <f>+B13*0.84/10^6</f>
        <v>1.2314400000000001E-3</v>
      </c>
      <c r="D13" s="174">
        <v>43</v>
      </c>
      <c r="E13" s="101">
        <f>+C13*D13</f>
        <v>5.2951920000000006E-2</v>
      </c>
      <c r="F13" s="100">
        <f>+$D$35</f>
        <v>74100</v>
      </c>
      <c r="G13" s="33">
        <f>+$D$36</f>
        <v>4.1500000000000004</v>
      </c>
      <c r="H13" s="33">
        <f>+$D$37</f>
        <v>28.6</v>
      </c>
      <c r="I13" s="99">
        <f>+E13*F13</f>
        <v>3923.7372720000003</v>
      </c>
      <c r="J13" s="99">
        <f>+E13*G13</f>
        <v>0.21975046800000003</v>
      </c>
      <c r="K13" s="99">
        <f>+E13*H13</f>
        <v>1.5144249120000002</v>
      </c>
      <c r="L13" s="30">
        <v>27.9</v>
      </c>
      <c r="M13" s="30">
        <v>273</v>
      </c>
      <c r="N13" s="101">
        <f>+(I13+J13*L13+K13*M13)/1000</f>
        <v>4.3433063110332002</v>
      </c>
    </row>
    <row r="14" spans="1:14" ht="32.25" customHeight="1">
      <c r="A14" s="30">
        <v>2</v>
      </c>
      <c r="B14" s="32">
        <v>839</v>
      </c>
      <c r="C14" s="30">
        <f t="shared" ref="C14:C24" si="0">+B14*0.84/10^6</f>
        <v>7.0476000000000002E-4</v>
      </c>
      <c r="D14" s="174">
        <v>43</v>
      </c>
      <c r="E14" s="101">
        <f t="shared" ref="E14:E24" si="1">+C14*D14</f>
        <v>3.0304680000000001E-2</v>
      </c>
      <c r="F14" s="100">
        <f t="shared" ref="F14:F24" si="2">+$D$35</f>
        <v>74100</v>
      </c>
      <c r="G14" s="33">
        <f t="shared" ref="G14:G24" si="3">+$D$36</f>
        <v>4.1500000000000004</v>
      </c>
      <c r="H14" s="33">
        <f t="shared" ref="H14:H24" si="4">+$D$37</f>
        <v>28.6</v>
      </c>
      <c r="I14" s="99">
        <f t="shared" ref="I14:I24" si="5">+E14*F14</f>
        <v>2245.5767879999999</v>
      </c>
      <c r="J14" s="99">
        <f t="shared" ref="J14:J24" si="6">+E14*G14</f>
        <v>0.12576442200000001</v>
      </c>
      <c r="K14" s="99">
        <f t="shared" ref="K14:K24" si="7">+E14*H14</f>
        <v>0.86671384800000006</v>
      </c>
      <c r="L14" s="30">
        <v>27.9</v>
      </c>
      <c r="M14" s="30">
        <v>273</v>
      </c>
      <c r="N14" s="101">
        <f t="shared" ref="N14:N24" si="8">+(I14+J14*L14+K14*M14)/1000</f>
        <v>2.4856984958778003</v>
      </c>
    </row>
    <row r="15" spans="1:14" ht="32.25" customHeight="1">
      <c r="A15" s="30">
        <v>3</v>
      </c>
      <c r="B15" s="32">
        <v>1364</v>
      </c>
      <c r="C15" s="30">
        <f t="shared" si="0"/>
        <v>1.14576E-3</v>
      </c>
      <c r="D15" s="174">
        <v>43</v>
      </c>
      <c r="E15" s="101">
        <f t="shared" si="1"/>
        <v>4.9267680000000001E-2</v>
      </c>
      <c r="F15" s="100">
        <f t="shared" si="2"/>
        <v>74100</v>
      </c>
      <c r="G15" s="33">
        <f t="shared" si="3"/>
        <v>4.1500000000000004</v>
      </c>
      <c r="H15" s="33">
        <f t="shared" si="4"/>
        <v>28.6</v>
      </c>
      <c r="I15" s="99">
        <f t="shared" si="5"/>
        <v>3650.7350879999999</v>
      </c>
      <c r="J15" s="99">
        <f t="shared" si="6"/>
        <v>0.20446087200000002</v>
      </c>
      <c r="K15" s="99">
        <f t="shared" si="7"/>
        <v>1.409055648</v>
      </c>
      <c r="L15" s="30">
        <v>27.9</v>
      </c>
      <c r="M15" s="30">
        <v>273</v>
      </c>
      <c r="N15" s="101">
        <f t="shared" si="8"/>
        <v>4.0411117382328001</v>
      </c>
    </row>
    <row r="16" spans="1:14" ht="32.25" customHeight="1">
      <c r="A16" s="30">
        <v>4</v>
      </c>
      <c r="B16" s="32">
        <v>1253</v>
      </c>
      <c r="C16" s="30">
        <f t="shared" si="0"/>
        <v>1.0525199999999999E-3</v>
      </c>
      <c r="D16" s="174">
        <v>43</v>
      </c>
      <c r="E16" s="101">
        <f t="shared" si="1"/>
        <v>4.5258359999999997E-2</v>
      </c>
      <c r="F16" s="100">
        <f t="shared" si="2"/>
        <v>74100</v>
      </c>
      <c r="G16" s="33">
        <f t="shared" si="3"/>
        <v>4.1500000000000004</v>
      </c>
      <c r="H16" s="33">
        <f t="shared" si="4"/>
        <v>28.6</v>
      </c>
      <c r="I16" s="99">
        <f t="shared" si="5"/>
        <v>3353.6444759999999</v>
      </c>
      <c r="J16" s="99">
        <f t="shared" si="6"/>
        <v>0.187822194</v>
      </c>
      <c r="K16" s="99">
        <f t="shared" si="7"/>
        <v>1.294389096</v>
      </c>
      <c r="L16" s="30">
        <v>27.9</v>
      </c>
      <c r="M16" s="30">
        <v>273</v>
      </c>
      <c r="N16" s="101">
        <f t="shared" si="8"/>
        <v>3.7122529384206002</v>
      </c>
    </row>
    <row r="17" spans="1:14" ht="32.25" customHeight="1">
      <c r="A17" s="30">
        <v>5</v>
      </c>
      <c r="B17" s="32">
        <v>1346</v>
      </c>
      <c r="C17" s="30">
        <f t="shared" si="0"/>
        <v>1.1306399999999998E-3</v>
      </c>
      <c r="D17" s="174">
        <v>43</v>
      </c>
      <c r="E17" s="101">
        <f t="shared" si="1"/>
        <v>4.861751999999999E-2</v>
      </c>
      <c r="F17" s="100">
        <f t="shared" si="2"/>
        <v>74100</v>
      </c>
      <c r="G17" s="33">
        <f t="shared" si="3"/>
        <v>4.1500000000000004</v>
      </c>
      <c r="H17" s="33">
        <f t="shared" si="4"/>
        <v>28.6</v>
      </c>
      <c r="I17" s="99">
        <f t="shared" si="5"/>
        <v>3602.5582319999994</v>
      </c>
      <c r="J17" s="99">
        <f t="shared" si="6"/>
        <v>0.20176270799999999</v>
      </c>
      <c r="K17" s="99">
        <f t="shared" si="7"/>
        <v>1.3904610719999997</v>
      </c>
      <c r="L17" s="30">
        <v>27.9</v>
      </c>
      <c r="M17" s="30">
        <v>273</v>
      </c>
      <c r="N17" s="101">
        <f t="shared" si="8"/>
        <v>3.9877832842091991</v>
      </c>
    </row>
    <row r="18" spans="1:14" ht="32.25" customHeight="1">
      <c r="A18" s="30">
        <v>6</v>
      </c>
      <c r="B18" s="32">
        <v>1290</v>
      </c>
      <c r="C18" s="30">
        <f t="shared" si="0"/>
        <v>1.0835999999999999E-3</v>
      </c>
      <c r="D18" s="174">
        <v>43</v>
      </c>
      <c r="E18" s="101">
        <f t="shared" si="1"/>
        <v>4.6594799999999992E-2</v>
      </c>
      <c r="F18" s="100">
        <f t="shared" si="2"/>
        <v>74100</v>
      </c>
      <c r="G18" s="33">
        <f t="shared" si="3"/>
        <v>4.1500000000000004</v>
      </c>
      <c r="H18" s="33">
        <f t="shared" si="4"/>
        <v>28.6</v>
      </c>
      <c r="I18" s="99">
        <f t="shared" si="5"/>
        <v>3452.6746799999992</v>
      </c>
      <c r="J18" s="99">
        <f t="shared" si="6"/>
        <v>0.19336841999999999</v>
      </c>
      <c r="K18" s="99">
        <f t="shared" si="7"/>
        <v>1.3326112799999998</v>
      </c>
      <c r="L18" s="30">
        <v>27.9</v>
      </c>
      <c r="M18" s="30">
        <v>273</v>
      </c>
      <c r="N18" s="101">
        <f t="shared" si="8"/>
        <v>3.8218725383579994</v>
      </c>
    </row>
    <row r="19" spans="1:14" ht="32.25" customHeight="1">
      <c r="A19" s="30">
        <v>7</v>
      </c>
      <c r="B19" s="32">
        <v>1426</v>
      </c>
      <c r="C19" s="30">
        <f t="shared" si="0"/>
        <v>1.1978399999999999E-3</v>
      </c>
      <c r="D19" s="174">
        <v>43</v>
      </c>
      <c r="E19" s="101">
        <f t="shared" si="1"/>
        <v>5.1507119999999997E-2</v>
      </c>
      <c r="F19" s="100">
        <f t="shared" si="2"/>
        <v>74100</v>
      </c>
      <c r="G19" s="33">
        <f t="shared" si="3"/>
        <v>4.1500000000000004</v>
      </c>
      <c r="H19" s="33">
        <f t="shared" si="4"/>
        <v>28.6</v>
      </c>
      <c r="I19" s="99">
        <f t="shared" si="5"/>
        <v>3816.6775919999995</v>
      </c>
      <c r="J19" s="99">
        <f t="shared" si="6"/>
        <v>0.21375454800000002</v>
      </c>
      <c r="K19" s="99">
        <f t="shared" si="7"/>
        <v>1.4731036319999999</v>
      </c>
      <c r="L19" s="30">
        <v>27.9</v>
      </c>
      <c r="M19" s="30">
        <v>273</v>
      </c>
      <c r="N19" s="101">
        <f t="shared" si="8"/>
        <v>4.2247986354251994</v>
      </c>
    </row>
    <row r="20" spans="1:14" ht="32.25" customHeight="1">
      <c r="A20" s="30">
        <v>8</v>
      </c>
      <c r="B20" s="32">
        <v>1781</v>
      </c>
      <c r="C20" s="30">
        <f t="shared" si="0"/>
        <v>1.4960399999999999E-3</v>
      </c>
      <c r="D20" s="174">
        <v>43</v>
      </c>
      <c r="E20" s="101">
        <f t="shared" si="1"/>
        <v>6.4329719999999993E-2</v>
      </c>
      <c r="F20" s="100">
        <f t="shared" si="2"/>
        <v>74100</v>
      </c>
      <c r="G20" s="33">
        <f t="shared" si="3"/>
        <v>4.1500000000000004</v>
      </c>
      <c r="H20" s="33">
        <f t="shared" si="4"/>
        <v>28.6</v>
      </c>
      <c r="I20" s="99">
        <f t="shared" si="5"/>
        <v>4766.8322519999992</v>
      </c>
      <c r="J20" s="99">
        <f t="shared" si="6"/>
        <v>0.26696833799999997</v>
      </c>
      <c r="K20" s="99">
        <f t="shared" si="7"/>
        <v>1.8398299919999999</v>
      </c>
      <c r="L20" s="30">
        <v>27.9</v>
      </c>
      <c r="M20" s="30">
        <v>273</v>
      </c>
      <c r="N20" s="101">
        <f t="shared" si="8"/>
        <v>5.2765542564461994</v>
      </c>
    </row>
    <row r="21" spans="1:14" ht="32.25" customHeight="1">
      <c r="A21" s="30">
        <v>9</v>
      </c>
      <c r="B21" s="32">
        <v>1393</v>
      </c>
      <c r="C21" s="30">
        <f t="shared" si="0"/>
        <v>1.17012E-3</v>
      </c>
      <c r="D21" s="174">
        <v>43</v>
      </c>
      <c r="E21" s="101">
        <f t="shared" si="1"/>
        <v>5.0315159999999998E-2</v>
      </c>
      <c r="F21" s="100">
        <f t="shared" si="2"/>
        <v>74100</v>
      </c>
      <c r="G21" s="33">
        <f t="shared" si="3"/>
        <v>4.1500000000000004</v>
      </c>
      <c r="H21" s="33">
        <f t="shared" si="4"/>
        <v>28.6</v>
      </c>
      <c r="I21" s="99">
        <f t="shared" si="5"/>
        <v>3728.3533559999996</v>
      </c>
      <c r="J21" s="99">
        <f t="shared" si="6"/>
        <v>0.20880791400000001</v>
      </c>
      <c r="K21" s="99">
        <f t="shared" si="7"/>
        <v>1.439013576</v>
      </c>
      <c r="L21" s="30">
        <v>27.9</v>
      </c>
      <c r="M21" s="30">
        <v>273</v>
      </c>
      <c r="N21" s="101">
        <f t="shared" si="8"/>
        <v>4.1270298030486003</v>
      </c>
    </row>
    <row r="22" spans="1:14" ht="32.25" customHeight="1">
      <c r="A22" s="30">
        <v>10</v>
      </c>
      <c r="B22" s="32">
        <v>908</v>
      </c>
      <c r="C22" s="30">
        <f t="shared" si="0"/>
        <v>7.6272000000000004E-4</v>
      </c>
      <c r="D22" s="174">
        <v>43</v>
      </c>
      <c r="E22" s="101">
        <f t="shared" si="1"/>
        <v>3.279696E-2</v>
      </c>
      <c r="F22" s="100">
        <f t="shared" si="2"/>
        <v>74100</v>
      </c>
      <c r="G22" s="33">
        <f t="shared" si="3"/>
        <v>4.1500000000000004</v>
      </c>
      <c r="H22" s="33">
        <f t="shared" si="4"/>
        <v>28.6</v>
      </c>
      <c r="I22" s="99">
        <f t="shared" si="5"/>
        <v>2430.2547359999999</v>
      </c>
      <c r="J22" s="99">
        <f t="shared" si="6"/>
        <v>0.136107384</v>
      </c>
      <c r="K22" s="99">
        <f t="shared" si="7"/>
        <v>0.93799305600000005</v>
      </c>
      <c r="L22" s="30">
        <v>27.9</v>
      </c>
      <c r="M22" s="30">
        <v>273</v>
      </c>
      <c r="N22" s="101">
        <f t="shared" si="8"/>
        <v>2.6901242363016</v>
      </c>
    </row>
    <row r="23" spans="1:14" ht="32.25" customHeight="1">
      <c r="A23" s="30">
        <v>11</v>
      </c>
      <c r="B23" s="32">
        <v>1085</v>
      </c>
      <c r="C23" s="30">
        <f t="shared" si="0"/>
        <v>9.1139999999999993E-4</v>
      </c>
      <c r="D23" s="174">
        <v>43</v>
      </c>
      <c r="E23" s="101">
        <f t="shared" si="1"/>
        <v>3.9190199999999994E-2</v>
      </c>
      <c r="F23" s="100">
        <f t="shared" si="2"/>
        <v>74100</v>
      </c>
      <c r="G23" s="33">
        <f t="shared" si="3"/>
        <v>4.1500000000000004</v>
      </c>
      <c r="H23" s="33">
        <f t="shared" si="4"/>
        <v>28.6</v>
      </c>
      <c r="I23" s="99">
        <f t="shared" si="5"/>
        <v>2903.9938199999997</v>
      </c>
      <c r="J23" s="99">
        <f t="shared" si="6"/>
        <v>0.16263933</v>
      </c>
      <c r="K23" s="99">
        <f t="shared" si="7"/>
        <v>1.12083972</v>
      </c>
      <c r="L23" s="30">
        <v>27.9</v>
      </c>
      <c r="M23" s="30">
        <v>273</v>
      </c>
      <c r="N23" s="101">
        <f t="shared" si="8"/>
        <v>3.2145207008669994</v>
      </c>
    </row>
    <row r="24" spans="1:14" ht="32.25" customHeight="1">
      <c r="A24" s="30">
        <v>12</v>
      </c>
      <c r="B24" s="32">
        <v>1212</v>
      </c>
      <c r="C24" s="30">
        <f t="shared" si="0"/>
        <v>1.01808E-3</v>
      </c>
      <c r="D24" s="174">
        <v>43</v>
      </c>
      <c r="E24" s="101">
        <f t="shared" si="1"/>
        <v>4.3777440000000001E-2</v>
      </c>
      <c r="F24" s="100">
        <f t="shared" si="2"/>
        <v>74100</v>
      </c>
      <c r="G24" s="33">
        <f t="shared" si="3"/>
        <v>4.1500000000000004</v>
      </c>
      <c r="H24" s="33">
        <f t="shared" si="4"/>
        <v>28.6</v>
      </c>
      <c r="I24" s="99">
        <f t="shared" si="5"/>
        <v>3243.908304</v>
      </c>
      <c r="J24" s="99">
        <f t="shared" si="6"/>
        <v>0.18167637600000003</v>
      </c>
      <c r="K24" s="99">
        <f t="shared" si="7"/>
        <v>1.2520347840000001</v>
      </c>
      <c r="L24" s="30">
        <v>27.9</v>
      </c>
      <c r="M24" s="30">
        <v>273</v>
      </c>
      <c r="N24" s="101">
        <f t="shared" si="8"/>
        <v>3.5907825709224004</v>
      </c>
    </row>
    <row r="25" spans="1:14" ht="32.25" customHeight="1">
      <c r="A25" s="28" t="s">
        <v>469</v>
      </c>
      <c r="B25" s="103">
        <f>SUM(B13:B24)</f>
        <v>15363</v>
      </c>
      <c r="C25" s="103">
        <f>SUM(C13:C24)</f>
        <v>1.2904919999999999E-2</v>
      </c>
      <c r="D25" s="103"/>
      <c r="E25" s="103">
        <f>SUM(E13:E24)</f>
        <v>0.55491155999999986</v>
      </c>
      <c r="F25" s="105"/>
      <c r="G25" s="103"/>
      <c r="H25" s="103"/>
      <c r="I25" s="269">
        <f>SUM(I13:I24)</f>
        <v>41118.946595999994</v>
      </c>
      <c r="J25" s="269">
        <f>SUM(J13:J24)</f>
        <v>2.3028829740000005</v>
      </c>
      <c r="K25" s="269">
        <f>SUM(K13:K24)</f>
        <v>15.870470616000002</v>
      </c>
      <c r="L25" s="107"/>
      <c r="M25" s="107"/>
      <c r="N25" s="106">
        <f>SUM(N13:N24)</f>
        <v>45.515835509142605</v>
      </c>
    </row>
    <row r="26" spans="1:14" ht="6" hidden="1" customHeight="1">
      <c r="A26" s="52"/>
      <c r="B26" s="52"/>
      <c r="C26" s="52"/>
      <c r="D26" s="52"/>
      <c r="E26" s="52"/>
      <c r="F26" s="52"/>
      <c r="G26" s="52"/>
      <c r="H26" s="52"/>
      <c r="I26" s="275">
        <f>+I25/1000</f>
        <v>41.118946595999994</v>
      </c>
      <c r="J26" s="276">
        <f>+J25*L24/1000</f>
        <v>6.4250434974600007E-2</v>
      </c>
      <c r="K26" s="275">
        <f>+K25*M24/1000</f>
        <v>4.3326384781680005</v>
      </c>
      <c r="L26" s="52"/>
      <c r="M26" s="52"/>
      <c r="N26" s="52"/>
    </row>
    <row r="27" spans="1:14" ht="16.5">
      <c r="A27" s="52"/>
      <c r="B27" s="52"/>
      <c r="C27" s="52"/>
      <c r="D27" s="52"/>
      <c r="E27" s="52"/>
      <c r="F27" s="52"/>
      <c r="G27" s="52"/>
      <c r="H27" s="52"/>
      <c r="I27" s="52"/>
      <c r="J27" s="52"/>
      <c r="K27" s="52"/>
      <c r="L27" s="52"/>
      <c r="M27" s="52"/>
      <c r="N27" s="52"/>
    </row>
    <row r="28" spans="1:14" ht="16.5">
      <c r="A28" s="961" t="s">
        <v>524</v>
      </c>
      <c r="B28" s="962"/>
      <c r="C28" s="962"/>
      <c r="D28" s="962"/>
      <c r="E28" s="962"/>
      <c r="F28" s="962"/>
      <c r="G28" s="962"/>
      <c r="H28" s="962"/>
      <c r="I28" s="962"/>
      <c r="J28" s="962"/>
      <c r="K28" s="962"/>
      <c r="L28" s="962"/>
      <c r="M28" s="962"/>
      <c r="N28" s="963"/>
    </row>
    <row r="29" spans="1:14" ht="16.5">
      <c r="A29" s="249"/>
      <c r="B29" s="23"/>
      <c r="C29" s="23"/>
      <c r="D29" s="23"/>
      <c r="E29" s="23"/>
      <c r="F29" s="23"/>
      <c r="G29" s="23"/>
      <c r="H29" s="23"/>
      <c r="I29" s="23"/>
      <c r="J29" s="23"/>
      <c r="K29" s="23"/>
      <c r="L29" s="23"/>
      <c r="M29" s="23"/>
      <c r="N29" s="24"/>
    </row>
    <row r="30" spans="1:14" ht="19.149999999999999" customHeight="1">
      <c r="A30" s="899" t="s">
        <v>525</v>
      </c>
      <c r="B30" s="899"/>
      <c r="C30" s="899"/>
      <c r="D30" s="899" t="s">
        <v>526</v>
      </c>
      <c r="E30" s="899"/>
      <c r="F30" s="899" t="s">
        <v>528</v>
      </c>
      <c r="G30" s="899"/>
      <c r="H30" s="899"/>
      <c r="I30" s="899"/>
      <c r="J30" s="899"/>
      <c r="K30" s="899"/>
      <c r="L30" s="899"/>
      <c r="M30" s="899"/>
      <c r="N30" s="899"/>
    </row>
    <row r="31" spans="1:14" ht="23.45" customHeight="1">
      <c r="A31" s="671" t="s">
        <v>529</v>
      </c>
      <c r="B31" s="671"/>
      <c r="C31" s="671"/>
      <c r="D31" s="895" t="s">
        <v>530</v>
      </c>
      <c r="E31" s="895"/>
      <c r="F31" s="895" t="s">
        <v>532</v>
      </c>
      <c r="G31" s="895"/>
      <c r="H31" s="895"/>
      <c r="I31" s="895"/>
      <c r="J31" s="895"/>
      <c r="K31" s="895"/>
      <c r="L31" s="895"/>
      <c r="M31" s="895"/>
      <c r="N31" s="895"/>
    </row>
    <row r="32" spans="1:14" ht="42" customHeight="1">
      <c r="A32" s="671" t="s">
        <v>533</v>
      </c>
      <c r="B32" s="671"/>
      <c r="C32" s="671"/>
      <c r="D32" s="895">
        <v>0.84</v>
      </c>
      <c r="E32" s="895"/>
      <c r="F32" s="895" t="s">
        <v>605</v>
      </c>
      <c r="G32" s="895"/>
      <c r="H32" s="895"/>
      <c r="I32" s="895"/>
      <c r="J32" s="895"/>
      <c r="K32" s="895"/>
      <c r="L32" s="895"/>
      <c r="M32" s="895"/>
      <c r="N32" s="895"/>
    </row>
    <row r="33" spans="1:14" ht="56.45" customHeight="1">
      <c r="A33" s="863" t="s">
        <v>719</v>
      </c>
      <c r="B33" s="863"/>
      <c r="C33" s="863"/>
      <c r="D33" s="899" t="s">
        <v>526</v>
      </c>
      <c r="E33" s="899"/>
      <c r="F33" s="46" t="s">
        <v>527</v>
      </c>
      <c r="G33" s="899" t="s">
        <v>528</v>
      </c>
      <c r="H33" s="899"/>
      <c r="I33" s="899"/>
      <c r="J33" s="899"/>
      <c r="K33" s="899"/>
      <c r="L33" s="863" t="s">
        <v>537</v>
      </c>
      <c r="M33" s="863"/>
      <c r="N33" s="863"/>
    </row>
    <row r="34" spans="1:14" ht="24" customHeight="1">
      <c r="A34" s="671" t="s">
        <v>720</v>
      </c>
      <c r="B34" s="671"/>
      <c r="C34" s="671"/>
      <c r="D34" s="897">
        <v>43</v>
      </c>
      <c r="E34" s="897"/>
      <c r="F34" s="177" t="s">
        <v>539</v>
      </c>
      <c r="G34" s="895" t="s">
        <v>540</v>
      </c>
      <c r="H34" s="895"/>
      <c r="I34" s="895"/>
      <c r="J34" s="895"/>
      <c r="K34" s="895"/>
      <c r="L34" s="731"/>
      <c r="M34" s="731"/>
      <c r="N34" s="731"/>
    </row>
    <row r="35" spans="1:14" ht="23.45" customHeight="1">
      <c r="A35" s="895" t="s">
        <v>541</v>
      </c>
      <c r="B35" s="895"/>
      <c r="C35" s="895"/>
      <c r="D35" s="898">
        <v>74100</v>
      </c>
      <c r="E35" s="898"/>
      <c r="F35" s="177" t="s">
        <v>542</v>
      </c>
      <c r="G35" s="915" t="s">
        <v>721</v>
      </c>
      <c r="H35" s="916"/>
      <c r="I35" s="916"/>
      <c r="J35" s="916"/>
      <c r="K35" s="917"/>
      <c r="L35" s="731" t="s">
        <v>544</v>
      </c>
      <c r="M35" s="731"/>
      <c r="N35" s="731"/>
    </row>
    <row r="36" spans="1:14" ht="23.45" customHeight="1">
      <c r="A36" s="895" t="s">
        <v>545</v>
      </c>
      <c r="B36" s="895"/>
      <c r="C36" s="895"/>
      <c r="D36" s="896">
        <v>4.1500000000000004</v>
      </c>
      <c r="E36" s="896"/>
      <c r="F36" s="177" t="s">
        <v>542</v>
      </c>
      <c r="G36" s="915" t="s">
        <v>721</v>
      </c>
      <c r="H36" s="916"/>
      <c r="I36" s="916"/>
      <c r="J36" s="916"/>
      <c r="K36" s="917"/>
      <c r="L36" s="731" t="s">
        <v>544</v>
      </c>
      <c r="M36" s="731"/>
      <c r="N36" s="731"/>
    </row>
    <row r="37" spans="1:14" ht="23.45" customHeight="1">
      <c r="A37" s="895" t="s">
        <v>547</v>
      </c>
      <c r="B37" s="895"/>
      <c r="C37" s="895"/>
      <c r="D37" s="896">
        <v>28.6</v>
      </c>
      <c r="E37" s="896"/>
      <c r="F37" s="177" t="s">
        <v>542</v>
      </c>
      <c r="G37" s="915" t="s">
        <v>721</v>
      </c>
      <c r="H37" s="916"/>
      <c r="I37" s="916"/>
      <c r="J37" s="916"/>
      <c r="K37" s="917"/>
      <c r="L37" s="731" t="s">
        <v>544</v>
      </c>
      <c r="M37" s="731"/>
      <c r="N37" s="731"/>
    </row>
    <row r="38" spans="1:14" ht="23.45" customHeight="1">
      <c r="A38" s="895" t="s">
        <v>549</v>
      </c>
      <c r="B38" s="895"/>
      <c r="C38" s="895"/>
      <c r="D38" s="896">
        <v>27.9</v>
      </c>
      <c r="E38" s="896"/>
      <c r="F38" s="177"/>
      <c r="G38" s="895" t="s">
        <v>550</v>
      </c>
      <c r="H38" s="895"/>
      <c r="I38" s="895"/>
      <c r="J38" s="895"/>
      <c r="K38" s="895"/>
      <c r="L38" s="731"/>
      <c r="M38" s="731"/>
      <c r="N38" s="731"/>
    </row>
    <row r="39" spans="1:14" ht="23.45" customHeight="1">
      <c r="A39" s="895" t="s">
        <v>551</v>
      </c>
      <c r="B39" s="895"/>
      <c r="C39" s="895"/>
      <c r="D39" s="896">
        <v>273</v>
      </c>
      <c r="E39" s="896"/>
      <c r="F39" s="177"/>
      <c r="G39" s="895" t="s">
        <v>550</v>
      </c>
      <c r="H39" s="895"/>
      <c r="I39" s="895"/>
      <c r="J39" s="895"/>
      <c r="K39" s="895"/>
      <c r="L39" s="731"/>
      <c r="M39" s="731"/>
      <c r="N39" s="731"/>
    </row>
    <row r="41" spans="1:14">
      <c r="A41" s="894"/>
      <c r="B41" s="894"/>
      <c r="C41" s="894"/>
      <c r="D41" s="894"/>
      <c r="E41" s="894"/>
      <c r="F41" s="58"/>
      <c r="G41" s="894"/>
      <c r="H41" s="894"/>
      <c r="I41" s="894"/>
    </row>
    <row r="42" spans="1:14">
      <c r="A42" s="894"/>
      <c r="B42" s="894"/>
      <c r="C42" s="894"/>
      <c r="D42" s="894"/>
      <c r="E42" s="894"/>
      <c r="F42" s="58"/>
      <c r="G42" s="894"/>
      <c r="H42" s="894"/>
      <c r="I42" s="894"/>
    </row>
  </sheetData>
  <mergeCells count="57">
    <mergeCell ref="F10:H10"/>
    <mergeCell ref="I10:K10"/>
    <mergeCell ref="A28:N28"/>
    <mergeCell ref="A30:C30"/>
    <mergeCell ref="D30:E30"/>
    <mergeCell ref="F30:N30"/>
    <mergeCell ref="L10:L11"/>
    <mergeCell ref="M10:M11"/>
    <mergeCell ref="N10:N11"/>
    <mergeCell ref="A31:C31"/>
    <mergeCell ref="D31:E31"/>
    <mergeCell ref="F31:N31"/>
    <mergeCell ref="A32:C32"/>
    <mergeCell ref="D32:E32"/>
    <mergeCell ref="F32:N32"/>
    <mergeCell ref="A33:C33"/>
    <mergeCell ref="D33:E33"/>
    <mergeCell ref="G33:K33"/>
    <mergeCell ref="L33:N33"/>
    <mergeCell ref="A34:C34"/>
    <mergeCell ref="D34:E34"/>
    <mergeCell ref="G34:K34"/>
    <mergeCell ref="L34:N34"/>
    <mergeCell ref="A35:C35"/>
    <mergeCell ref="D35:E35"/>
    <mergeCell ref="G35:K35"/>
    <mergeCell ref="L35:N35"/>
    <mergeCell ref="A36:C36"/>
    <mergeCell ref="D36:E36"/>
    <mergeCell ref="G36:K36"/>
    <mergeCell ref="L36:N36"/>
    <mergeCell ref="L37:N37"/>
    <mergeCell ref="A38:C38"/>
    <mergeCell ref="D38:E38"/>
    <mergeCell ref="G38:K38"/>
    <mergeCell ref="L38:N38"/>
    <mergeCell ref="D41:E41"/>
    <mergeCell ref="G41:I41"/>
    <mergeCell ref="A37:C37"/>
    <mergeCell ref="D37:E37"/>
    <mergeCell ref="G37:K37"/>
    <mergeCell ref="A1:B3"/>
    <mergeCell ref="M1:N3"/>
    <mergeCell ref="C1:L3"/>
    <mergeCell ref="A42:C42"/>
    <mergeCell ref="D42:E42"/>
    <mergeCell ref="G42:I42"/>
    <mergeCell ref="A10:A11"/>
    <mergeCell ref="B10:B11"/>
    <mergeCell ref="C10:C11"/>
    <mergeCell ref="D10:D11"/>
    <mergeCell ref="E10:E11"/>
    <mergeCell ref="A39:C39"/>
    <mergeCell ref="D39:E39"/>
    <mergeCell ref="G39:K39"/>
    <mergeCell ref="L39:N39"/>
    <mergeCell ref="A41:C41"/>
  </mergeCells>
  <pageMargins left="0.98425196850393704" right="0.59055118110236204" top="0.78740157480314998" bottom="0.78740157480314998" header="0.31496062992126" footer="0.31496062992126"/>
  <pageSetup scale="43"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2060"/>
    <pageSetUpPr fitToPage="1"/>
  </sheetPr>
  <dimension ref="A1:P41"/>
  <sheetViews>
    <sheetView zoomScale="85" zoomScaleNormal="85" workbookViewId="0">
      <selection activeCell="N24" sqref="N24"/>
    </sheetView>
  </sheetViews>
  <sheetFormatPr defaultColWidth="9.28515625" defaultRowHeight="14.25"/>
  <cols>
    <col min="1" max="1" width="7.85546875" style="18" customWidth="1"/>
    <col min="2" max="2" width="15.85546875" style="18" customWidth="1"/>
    <col min="3" max="3" width="11.7109375" style="18" customWidth="1"/>
    <col min="4" max="4" width="13" style="18" customWidth="1"/>
    <col min="5" max="5" width="11" style="18" customWidth="1"/>
    <col min="6" max="7" width="12.28515625" style="18" customWidth="1"/>
    <col min="8" max="8" width="8" style="18" customWidth="1"/>
    <col min="9" max="9" width="14.85546875" style="18" customWidth="1"/>
    <col min="10" max="11" width="17" style="18" customWidth="1"/>
    <col min="12" max="12" width="13.28515625" style="18" customWidth="1"/>
    <col min="13" max="13" width="11.42578125" style="18" customWidth="1"/>
    <col min="14" max="14" width="18.7109375" style="18" customWidth="1"/>
    <col min="15" max="15" width="14.85546875" style="18" hidden="1" customWidth="1"/>
    <col min="16" max="16" width="12.85546875" style="18" hidden="1" customWidth="1"/>
    <col min="17" max="16384" width="9.28515625" style="18"/>
  </cols>
  <sheetData>
    <row r="1" spans="1:16" ht="25.9" customHeight="1">
      <c r="A1" s="926"/>
      <c r="B1" s="926"/>
      <c r="C1" s="901" t="s">
        <v>727</v>
      </c>
      <c r="D1" s="907"/>
      <c r="E1" s="907"/>
      <c r="F1" s="907"/>
      <c r="G1" s="907"/>
      <c r="H1" s="907"/>
      <c r="I1" s="907"/>
      <c r="J1" s="907"/>
      <c r="K1" s="907"/>
      <c r="L1" s="908"/>
      <c r="M1" s="901" t="s">
        <v>1119</v>
      </c>
      <c r="N1" s="902"/>
    </row>
    <row r="2" spans="1:16" ht="25.9" customHeight="1">
      <c r="A2" s="926"/>
      <c r="B2" s="926"/>
      <c r="C2" s="909"/>
      <c r="D2" s="910"/>
      <c r="E2" s="910"/>
      <c r="F2" s="910"/>
      <c r="G2" s="910"/>
      <c r="H2" s="910"/>
      <c r="I2" s="910"/>
      <c r="J2" s="910"/>
      <c r="K2" s="910"/>
      <c r="L2" s="911"/>
      <c r="M2" s="903"/>
      <c r="N2" s="904"/>
    </row>
    <row r="3" spans="1:16" ht="25.9" customHeight="1">
      <c r="A3" s="926"/>
      <c r="B3" s="926"/>
      <c r="C3" s="912"/>
      <c r="D3" s="913"/>
      <c r="E3" s="913"/>
      <c r="F3" s="913"/>
      <c r="G3" s="913"/>
      <c r="H3" s="913"/>
      <c r="I3" s="913"/>
      <c r="J3" s="913"/>
      <c r="K3" s="913"/>
      <c r="L3" s="914"/>
      <c r="M3" s="905"/>
      <c r="N3" s="906"/>
    </row>
    <row r="4" spans="1:16">
      <c r="A4" s="267"/>
      <c r="B4" s="208"/>
      <c r="C4" s="208"/>
      <c r="D4" s="208"/>
      <c r="E4" s="208"/>
      <c r="F4" s="208"/>
      <c r="G4" s="208"/>
      <c r="H4" s="208"/>
      <c r="I4" s="208"/>
      <c r="J4" s="208"/>
      <c r="K4" s="208"/>
      <c r="L4" s="208"/>
      <c r="M4" s="208"/>
      <c r="N4" s="209"/>
    </row>
    <row r="5" spans="1:16" ht="16.5">
      <c r="A5" s="91" t="s">
        <v>722</v>
      </c>
      <c r="B5" s="23"/>
      <c r="C5" s="23"/>
      <c r="D5" s="23"/>
      <c r="E5" s="23"/>
      <c r="F5" s="23"/>
      <c r="G5" s="23"/>
      <c r="H5" s="23"/>
      <c r="I5" s="23"/>
      <c r="J5" s="23"/>
      <c r="K5" s="23"/>
      <c r="L5" s="23"/>
      <c r="M5" s="23"/>
      <c r="N5" s="24"/>
    </row>
    <row r="6" spans="1:16" ht="19.5">
      <c r="A6" s="26" t="s">
        <v>491</v>
      </c>
      <c r="B6" s="23"/>
      <c r="C6" s="23"/>
      <c r="D6" s="23"/>
      <c r="E6" s="23"/>
      <c r="F6" s="23"/>
      <c r="G6" s="23"/>
      <c r="H6" s="23"/>
      <c r="I6" s="23"/>
      <c r="J6" s="23"/>
      <c r="K6" s="23"/>
      <c r="L6" s="23"/>
      <c r="M6" s="23"/>
      <c r="N6" s="24"/>
    </row>
    <row r="7" spans="1:16" ht="19.5">
      <c r="A7" s="26" t="s">
        <v>492</v>
      </c>
      <c r="B7" s="23"/>
      <c r="C7" s="23"/>
      <c r="D7" s="23"/>
      <c r="E7" s="23"/>
      <c r="F7" s="23"/>
      <c r="G7" s="23"/>
      <c r="H7" s="23"/>
      <c r="I7" s="23"/>
      <c r="J7" s="23"/>
      <c r="K7" s="23"/>
      <c r="L7" s="23"/>
      <c r="M7" s="23"/>
      <c r="N7" s="24"/>
    </row>
    <row r="8" spans="1:16" ht="16.5">
      <c r="A8" s="27" t="s">
        <v>493</v>
      </c>
      <c r="B8" s="23"/>
      <c r="C8" s="23"/>
      <c r="D8" s="23"/>
      <c r="E8" s="23"/>
      <c r="F8" s="23"/>
      <c r="G8" s="23"/>
      <c r="H8" s="23"/>
      <c r="I8" s="23"/>
      <c r="J8" s="23"/>
      <c r="K8" s="23"/>
      <c r="L8" s="23"/>
      <c r="M8" s="23"/>
      <c r="N8" s="24"/>
    </row>
    <row r="9" spans="1:16" ht="16.5">
      <c r="A9" s="920"/>
      <c r="B9" s="921"/>
      <c r="C9" s="921"/>
      <c r="D9" s="921"/>
      <c r="E9" s="921"/>
      <c r="F9" s="122"/>
      <c r="G9" s="921"/>
      <c r="H9" s="921"/>
      <c r="I9" s="921"/>
      <c r="J9" s="94"/>
      <c r="K9" s="94"/>
      <c r="L9" s="94"/>
      <c r="M9" s="94"/>
      <c r="N9" s="93"/>
    </row>
    <row r="10" spans="1:16" ht="56.45" customHeight="1">
      <c r="A10" s="863" t="s">
        <v>494</v>
      </c>
      <c r="B10" s="863" t="s">
        <v>591</v>
      </c>
      <c r="C10" s="863" t="s">
        <v>555</v>
      </c>
      <c r="D10" s="863" t="s">
        <v>556</v>
      </c>
      <c r="E10" s="863" t="s">
        <v>557</v>
      </c>
      <c r="F10" s="863" t="s">
        <v>499</v>
      </c>
      <c r="G10" s="863"/>
      <c r="H10" s="863"/>
      <c r="I10" s="863" t="s">
        <v>500</v>
      </c>
      <c r="J10" s="863"/>
      <c r="K10" s="863"/>
      <c r="L10" s="863" t="s">
        <v>503</v>
      </c>
      <c r="M10" s="863" t="s">
        <v>504</v>
      </c>
      <c r="N10" s="863" t="s">
        <v>505</v>
      </c>
      <c r="O10" s="1008" t="s">
        <v>728</v>
      </c>
      <c r="P10" s="1008" t="s">
        <v>729</v>
      </c>
    </row>
    <row r="11" spans="1:16" ht="67.5" customHeight="1">
      <c r="A11" s="863"/>
      <c r="B11" s="863"/>
      <c r="C11" s="863"/>
      <c r="D11" s="863"/>
      <c r="E11" s="863"/>
      <c r="F11" s="28" t="s">
        <v>506</v>
      </c>
      <c r="G11" s="28" t="s">
        <v>507</v>
      </c>
      <c r="H11" s="28" t="s">
        <v>508</v>
      </c>
      <c r="I11" s="28" t="s">
        <v>509</v>
      </c>
      <c r="J11" s="28" t="s">
        <v>501</v>
      </c>
      <c r="K11" s="28" t="s">
        <v>502</v>
      </c>
      <c r="L11" s="863"/>
      <c r="M11" s="863"/>
      <c r="N11" s="863"/>
      <c r="O11" s="1009"/>
      <c r="P11" s="1009"/>
    </row>
    <row r="12" spans="1:16" ht="54.6" customHeight="1">
      <c r="A12" s="567" t="s">
        <v>510</v>
      </c>
      <c r="B12" s="567" t="s">
        <v>511</v>
      </c>
      <c r="C12" s="567" t="s">
        <v>512</v>
      </c>
      <c r="D12" s="567" t="s">
        <v>513</v>
      </c>
      <c r="E12" s="30" t="s">
        <v>514</v>
      </c>
      <c r="F12" s="567" t="s">
        <v>515</v>
      </c>
      <c r="G12" s="567" t="s">
        <v>516</v>
      </c>
      <c r="H12" s="567" t="s">
        <v>517</v>
      </c>
      <c r="I12" s="30" t="s">
        <v>518</v>
      </c>
      <c r="J12" s="30" t="s">
        <v>519</v>
      </c>
      <c r="K12" s="30" t="s">
        <v>520</v>
      </c>
      <c r="L12" s="576" t="s">
        <v>521</v>
      </c>
      <c r="M12" s="576" t="s">
        <v>522</v>
      </c>
      <c r="N12" s="30" t="s">
        <v>523</v>
      </c>
      <c r="O12" s="1010"/>
      <c r="P12" s="1010"/>
    </row>
    <row r="13" spans="1:16" ht="29.25" customHeight="1">
      <c r="A13" s="30">
        <v>1</v>
      </c>
      <c r="B13" s="32">
        <v>8252</v>
      </c>
      <c r="C13" s="30">
        <f>+B13*0.84/10^6</f>
        <v>6.9316799999999991E-3</v>
      </c>
      <c r="D13" s="174">
        <v>43</v>
      </c>
      <c r="E13" s="101">
        <f>+C13*D13</f>
        <v>0.29806223999999998</v>
      </c>
      <c r="F13" s="100">
        <f>+$D$37</f>
        <v>74100</v>
      </c>
      <c r="G13" s="33">
        <f>+$D$38</f>
        <v>3.9</v>
      </c>
      <c r="H13" s="33">
        <f>+$D$39</f>
        <v>3.9</v>
      </c>
      <c r="I13" s="174">
        <f>+E13*F13</f>
        <v>22086.411983999998</v>
      </c>
      <c r="J13" s="99">
        <f>+E13*G13</f>
        <v>1.1624427359999998</v>
      </c>
      <c r="K13" s="99">
        <f>+E13*H13</f>
        <v>1.1624427359999998</v>
      </c>
      <c r="L13" s="30">
        <v>27.9</v>
      </c>
      <c r="M13" s="30">
        <v>273</v>
      </c>
      <c r="N13" s="99">
        <f>+(I13+J13*L13+K13*M13)/1000</f>
        <v>22.436191003262401</v>
      </c>
      <c r="O13" s="273">
        <v>0.82110151272239995</v>
      </c>
      <c r="P13" s="273">
        <f>+N13+O13</f>
        <v>23.257292515984801</v>
      </c>
    </row>
    <row r="14" spans="1:16" ht="29.25" customHeight="1">
      <c r="A14" s="30">
        <v>2</v>
      </c>
      <c r="B14" s="32">
        <v>4477</v>
      </c>
      <c r="C14" s="30">
        <f t="shared" ref="C14:C24" si="0">+B14*0.84/10^6</f>
        <v>3.7606799999999998E-3</v>
      </c>
      <c r="D14" s="174">
        <v>43</v>
      </c>
      <c r="E14" s="101">
        <f t="shared" ref="E14:E24" si="1">+C14*D14</f>
        <v>0.16170923999999998</v>
      </c>
      <c r="F14" s="100">
        <f t="shared" ref="F14:F24" si="2">+$D$37</f>
        <v>74100</v>
      </c>
      <c r="G14" s="33">
        <f t="shared" ref="G14:G24" si="3">+$D$38</f>
        <v>3.9</v>
      </c>
      <c r="H14" s="33">
        <f t="shared" ref="H14:H24" si="4">+$D$39</f>
        <v>3.9</v>
      </c>
      <c r="I14" s="174">
        <f t="shared" ref="I14:I24" si="5">+E14*F14</f>
        <v>11982.654683999997</v>
      </c>
      <c r="J14" s="99">
        <f t="shared" ref="J14:J24" si="6">+E14*G14</f>
        <v>0.63066603599999993</v>
      </c>
      <c r="K14" s="99">
        <f t="shared" ref="K14:K24" si="7">+E14*H14</f>
        <v>0.63066603599999993</v>
      </c>
      <c r="L14" s="30">
        <v>27.9</v>
      </c>
      <c r="M14" s="30">
        <v>273</v>
      </c>
      <c r="N14" s="99">
        <f t="shared" ref="N14:N24" si="8">+(I14+J14*L14+K14*M14)/1000</f>
        <v>12.172422094232397</v>
      </c>
      <c r="O14" s="273">
        <v>5.7096462805199998E-2</v>
      </c>
      <c r="P14" s="273">
        <f t="shared" ref="P14:P24" si="9">+N14+O14</f>
        <v>12.229518557037597</v>
      </c>
    </row>
    <row r="15" spans="1:16" ht="29.25" customHeight="1">
      <c r="A15" s="30">
        <v>3</v>
      </c>
      <c r="B15" s="32">
        <v>6714</v>
      </c>
      <c r="C15" s="30">
        <f t="shared" si="0"/>
        <v>5.6397600000000006E-3</v>
      </c>
      <c r="D15" s="174">
        <v>43</v>
      </c>
      <c r="E15" s="101">
        <f t="shared" si="1"/>
        <v>0.24250968000000003</v>
      </c>
      <c r="F15" s="100">
        <f t="shared" si="2"/>
        <v>74100</v>
      </c>
      <c r="G15" s="33">
        <f t="shared" si="3"/>
        <v>3.9</v>
      </c>
      <c r="H15" s="33">
        <f t="shared" si="4"/>
        <v>3.9</v>
      </c>
      <c r="I15" s="174">
        <f t="shared" si="5"/>
        <v>17969.967288000003</v>
      </c>
      <c r="J15" s="99">
        <f t="shared" si="6"/>
        <v>0.94578775200000009</v>
      </c>
      <c r="K15" s="99">
        <f t="shared" si="7"/>
        <v>0.94578775200000009</v>
      </c>
      <c r="L15" s="30">
        <v>27.9</v>
      </c>
      <c r="M15" s="30">
        <v>273</v>
      </c>
      <c r="N15" s="99">
        <f t="shared" si="8"/>
        <v>18.254554822576804</v>
      </c>
      <c r="O15" s="273">
        <v>0.51114928606559995</v>
      </c>
      <c r="P15" s="273">
        <f t="shared" si="9"/>
        <v>18.765704108642403</v>
      </c>
    </row>
    <row r="16" spans="1:16" ht="29.25" customHeight="1">
      <c r="A16" s="30">
        <v>4</v>
      </c>
      <c r="B16" s="32">
        <v>7001</v>
      </c>
      <c r="C16" s="30">
        <f t="shared" si="0"/>
        <v>5.88084E-3</v>
      </c>
      <c r="D16" s="174">
        <v>43</v>
      </c>
      <c r="E16" s="101">
        <f t="shared" si="1"/>
        <v>0.25287611999999998</v>
      </c>
      <c r="F16" s="100">
        <f t="shared" si="2"/>
        <v>74100</v>
      </c>
      <c r="G16" s="33">
        <f t="shared" si="3"/>
        <v>3.9</v>
      </c>
      <c r="H16" s="33">
        <f t="shared" si="4"/>
        <v>3.9</v>
      </c>
      <c r="I16" s="174">
        <f t="shared" si="5"/>
        <v>18738.120491999998</v>
      </c>
      <c r="J16" s="99">
        <f t="shared" si="6"/>
        <v>0.98621686799999986</v>
      </c>
      <c r="K16" s="99">
        <f t="shared" si="7"/>
        <v>0.98621686799999986</v>
      </c>
      <c r="L16" s="30">
        <v>27.9</v>
      </c>
      <c r="M16" s="30">
        <v>273</v>
      </c>
      <c r="N16" s="99">
        <f t="shared" si="8"/>
        <v>19.034873147581198</v>
      </c>
      <c r="O16" s="273">
        <v>0.52746256115279999</v>
      </c>
      <c r="P16" s="273">
        <f t="shared" si="9"/>
        <v>19.562335708733997</v>
      </c>
    </row>
    <row r="17" spans="1:16" ht="29.25" customHeight="1">
      <c r="A17" s="30">
        <v>5</v>
      </c>
      <c r="B17" s="32">
        <v>7584</v>
      </c>
      <c r="C17" s="30">
        <f t="shared" si="0"/>
        <v>6.3705599999999991E-3</v>
      </c>
      <c r="D17" s="174">
        <v>43</v>
      </c>
      <c r="E17" s="101">
        <f t="shared" si="1"/>
        <v>0.27393407999999997</v>
      </c>
      <c r="F17" s="100">
        <f t="shared" si="2"/>
        <v>74100</v>
      </c>
      <c r="G17" s="33">
        <f t="shared" si="3"/>
        <v>3.9</v>
      </c>
      <c r="H17" s="33">
        <f t="shared" si="4"/>
        <v>3.9</v>
      </c>
      <c r="I17" s="174">
        <f t="shared" si="5"/>
        <v>20298.515327999998</v>
      </c>
      <c r="J17" s="99">
        <f t="shared" si="6"/>
        <v>1.0683429119999999</v>
      </c>
      <c r="K17" s="99">
        <f t="shared" si="7"/>
        <v>1.0683429119999999</v>
      </c>
      <c r="L17" s="30">
        <v>27.9</v>
      </c>
      <c r="M17" s="30">
        <v>273</v>
      </c>
      <c r="N17" s="99">
        <f t="shared" si="8"/>
        <v>20.6199797102208</v>
      </c>
      <c r="O17" s="273">
        <v>0.50571152770320005</v>
      </c>
      <c r="P17" s="273">
        <f t="shared" si="9"/>
        <v>21.125691237924002</v>
      </c>
    </row>
    <row r="18" spans="1:16" ht="29.25" customHeight="1">
      <c r="A18" s="30">
        <v>6</v>
      </c>
      <c r="B18" s="32">
        <v>5878</v>
      </c>
      <c r="C18" s="30">
        <f t="shared" si="0"/>
        <v>4.9375199999999999E-3</v>
      </c>
      <c r="D18" s="174">
        <v>43</v>
      </c>
      <c r="E18" s="101">
        <f t="shared" si="1"/>
        <v>0.21231336000000001</v>
      </c>
      <c r="F18" s="100">
        <f t="shared" si="2"/>
        <v>74100</v>
      </c>
      <c r="G18" s="33">
        <f t="shared" si="3"/>
        <v>3.9</v>
      </c>
      <c r="H18" s="33">
        <f t="shared" si="4"/>
        <v>3.9</v>
      </c>
      <c r="I18" s="174">
        <f t="shared" si="5"/>
        <v>15732.419976000001</v>
      </c>
      <c r="J18" s="99">
        <f t="shared" si="6"/>
        <v>0.82802210399999998</v>
      </c>
      <c r="K18" s="99">
        <f t="shared" si="7"/>
        <v>0.82802210399999998</v>
      </c>
      <c r="L18" s="30">
        <v>27.9</v>
      </c>
      <c r="M18" s="30">
        <v>273</v>
      </c>
      <c r="N18" s="99">
        <f t="shared" si="8"/>
        <v>15.9815718270936</v>
      </c>
      <c r="O18" s="273">
        <v>0.17128938841560001</v>
      </c>
      <c r="P18" s="273">
        <f t="shared" si="9"/>
        <v>16.152861215509201</v>
      </c>
    </row>
    <row r="19" spans="1:16" ht="29.25" customHeight="1">
      <c r="A19" s="30">
        <v>7</v>
      </c>
      <c r="B19" s="32">
        <v>7953</v>
      </c>
      <c r="C19" s="30">
        <f t="shared" si="0"/>
        <v>6.6805199999999997E-3</v>
      </c>
      <c r="D19" s="174">
        <v>43</v>
      </c>
      <c r="E19" s="101">
        <f t="shared" si="1"/>
        <v>0.28726235999999999</v>
      </c>
      <c r="F19" s="100">
        <f t="shared" si="2"/>
        <v>74100</v>
      </c>
      <c r="G19" s="33">
        <f t="shared" si="3"/>
        <v>3.9</v>
      </c>
      <c r="H19" s="33">
        <f t="shared" si="4"/>
        <v>3.9</v>
      </c>
      <c r="I19" s="174">
        <f t="shared" si="5"/>
        <v>21286.140876000001</v>
      </c>
      <c r="J19" s="99">
        <f t="shared" si="6"/>
        <v>1.120323204</v>
      </c>
      <c r="K19" s="99">
        <f t="shared" si="7"/>
        <v>1.120323204</v>
      </c>
      <c r="L19" s="30">
        <v>27.9</v>
      </c>
      <c r="M19" s="30">
        <v>273</v>
      </c>
      <c r="N19" s="99">
        <f t="shared" si="8"/>
        <v>21.623246128083601</v>
      </c>
      <c r="O19" s="273">
        <v>0.50571152770320005</v>
      </c>
      <c r="P19" s="273">
        <f t="shared" si="9"/>
        <v>22.128957655786799</v>
      </c>
    </row>
    <row r="20" spans="1:16" ht="29.25" customHeight="1">
      <c r="A20" s="30">
        <v>8</v>
      </c>
      <c r="B20" s="32">
        <v>7396</v>
      </c>
      <c r="C20" s="30">
        <f t="shared" si="0"/>
        <v>6.2126399999999993E-3</v>
      </c>
      <c r="D20" s="174">
        <v>43</v>
      </c>
      <c r="E20" s="101">
        <f t="shared" si="1"/>
        <v>0.26714351999999997</v>
      </c>
      <c r="F20" s="100">
        <f t="shared" si="2"/>
        <v>74100</v>
      </c>
      <c r="G20" s="33">
        <f t="shared" si="3"/>
        <v>3.9</v>
      </c>
      <c r="H20" s="33">
        <f t="shared" si="4"/>
        <v>3.9</v>
      </c>
      <c r="I20" s="174">
        <f t="shared" si="5"/>
        <v>19795.334831999997</v>
      </c>
      <c r="J20" s="99">
        <f t="shared" si="6"/>
        <v>1.0418597279999999</v>
      </c>
      <c r="K20" s="99">
        <f t="shared" si="7"/>
        <v>1.0418597279999999</v>
      </c>
      <c r="L20" s="30">
        <v>27.9</v>
      </c>
      <c r="M20" s="30">
        <v>273</v>
      </c>
      <c r="N20" s="99">
        <f t="shared" si="8"/>
        <v>20.108830424155201</v>
      </c>
      <c r="O20" s="273">
        <v>0.56008911132719996</v>
      </c>
      <c r="P20" s="273">
        <f t="shared" si="9"/>
        <v>20.668919535482402</v>
      </c>
    </row>
    <row r="21" spans="1:16" ht="29.25" customHeight="1">
      <c r="A21" s="30">
        <v>9</v>
      </c>
      <c r="B21" s="32">
        <v>6034</v>
      </c>
      <c r="C21" s="30">
        <f t="shared" si="0"/>
        <v>5.0685599999999997E-3</v>
      </c>
      <c r="D21" s="174">
        <v>43</v>
      </c>
      <c r="E21" s="101">
        <f t="shared" si="1"/>
        <v>0.21794807999999999</v>
      </c>
      <c r="F21" s="100">
        <f t="shared" si="2"/>
        <v>74100</v>
      </c>
      <c r="G21" s="33">
        <f t="shared" si="3"/>
        <v>3.9</v>
      </c>
      <c r="H21" s="33">
        <f t="shared" si="4"/>
        <v>3.9</v>
      </c>
      <c r="I21" s="174">
        <f t="shared" si="5"/>
        <v>16149.952727999998</v>
      </c>
      <c r="J21" s="99">
        <f t="shared" si="6"/>
        <v>0.84999751199999996</v>
      </c>
      <c r="K21" s="99">
        <f t="shared" si="7"/>
        <v>0.84999751199999996</v>
      </c>
      <c r="L21" s="30">
        <v>27.9</v>
      </c>
      <c r="M21" s="30">
        <v>273</v>
      </c>
      <c r="N21" s="99">
        <f t="shared" si="8"/>
        <v>16.405716979360797</v>
      </c>
      <c r="O21" s="273">
        <v>0.28548231402599999</v>
      </c>
      <c r="P21" s="273">
        <f t="shared" si="9"/>
        <v>16.691199293386799</v>
      </c>
    </row>
    <row r="22" spans="1:16" ht="29.25" customHeight="1">
      <c r="A22" s="30">
        <v>10</v>
      </c>
      <c r="B22" s="32">
        <v>8949</v>
      </c>
      <c r="C22" s="30">
        <f t="shared" si="0"/>
        <v>7.5171600000000002E-3</v>
      </c>
      <c r="D22" s="174">
        <v>43</v>
      </c>
      <c r="E22" s="101">
        <f t="shared" si="1"/>
        <v>0.32323788000000003</v>
      </c>
      <c r="F22" s="100">
        <f t="shared" si="2"/>
        <v>74100</v>
      </c>
      <c r="G22" s="33">
        <f t="shared" si="3"/>
        <v>3.9</v>
      </c>
      <c r="H22" s="33">
        <f t="shared" si="4"/>
        <v>3.9</v>
      </c>
      <c r="I22" s="174">
        <f t="shared" si="5"/>
        <v>23951.926908000001</v>
      </c>
      <c r="J22" s="99">
        <f t="shared" si="6"/>
        <v>1.2606277320000001</v>
      </c>
      <c r="K22" s="99">
        <f t="shared" si="7"/>
        <v>1.2606277320000001</v>
      </c>
      <c r="L22" s="30">
        <v>27.9</v>
      </c>
      <c r="M22" s="30">
        <v>273</v>
      </c>
      <c r="N22" s="99">
        <f t="shared" si="8"/>
        <v>24.3312497925588</v>
      </c>
      <c r="O22" s="273">
        <v>0.41598851472359999</v>
      </c>
      <c r="P22" s="273">
        <f t="shared" si="9"/>
        <v>24.747238307282402</v>
      </c>
    </row>
    <row r="23" spans="1:16" ht="29.25" customHeight="1">
      <c r="A23" s="30">
        <v>11</v>
      </c>
      <c r="B23" s="32">
        <v>8225</v>
      </c>
      <c r="C23" s="30">
        <f t="shared" si="0"/>
        <v>6.9090000000000002E-3</v>
      </c>
      <c r="D23" s="174">
        <v>43</v>
      </c>
      <c r="E23" s="101">
        <f t="shared" si="1"/>
        <v>0.29708699999999999</v>
      </c>
      <c r="F23" s="100">
        <f t="shared" si="2"/>
        <v>74100</v>
      </c>
      <c r="G23" s="33">
        <f t="shared" si="3"/>
        <v>3.9</v>
      </c>
      <c r="H23" s="33">
        <f t="shared" si="4"/>
        <v>3.9</v>
      </c>
      <c r="I23" s="174">
        <f t="shared" si="5"/>
        <v>22014.146699999998</v>
      </c>
      <c r="J23" s="99">
        <f t="shared" si="6"/>
        <v>1.1586392999999999</v>
      </c>
      <c r="K23" s="99">
        <f t="shared" si="7"/>
        <v>1.1586392999999999</v>
      </c>
      <c r="L23" s="30">
        <v>27.9</v>
      </c>
      <c r="M23" s="30">
        <v>273</v>
      </c>
      <c r="N23" s="99">
        <f t="shared" si="8"/>
        <v>22.36278126537</v>
      </c>
      <c r="O23" s="273">
        <v>0.56552686968959998</v>
      </c>
      <c r="P23" s="273">
        <f t="shared" si="9"/>
        <v>22.928308135059599</v>
      </c>
    </row>
    <row r="24" spans="1:16" ht="29.25" customHeight="1">
      <c r="A24" s="30">
        <v>12</v>
      </c>
      <c r="B24" s="32">
        <v>8853</v>
      </c>
      <c r="C24" s="30">
        <f t="shared" si="0"/>
        <v>7.4365199999999994E-3</v>
      </c>
      <c r="D24" s="174">
        <v>43</v>
      </c>
      <c r="E24" s="101">
        <f t="shared" si="1"/>
        <v>0.31977035999999998</v>
      </c>
      <c r="F24" s="100">
        <f t="shared" si="2"/>
        <v>74100</v>
      </c>
      <c r="G24" s="33">
        <f t="shared" si="3"/>
        <v>3.9</v>
      </c>
      <c r="H24" s="33">
        <f t="shared" si="4"/>
        <v>3.9</v>
      </c>
      <c r="I24" s="174">
        <f t="shared" si="5"/>
        <v>23694.983676</v>
      </c>
      <c r="J24" s="99">
        <f t="shared" si="6"/>
        <v>1.2471044039999999</v>
      </c>
      <c r="K24" s="99">
        <f t="shared" si="7"/>
        <v>1.2471044039999999</v>
      </c>
      <c r="L24" s="30">
        <v>27.9</v>
      </c>
      <c r="M24" s="30">
        <v>273</v>
      </c>
      <c r="N24" s="99">
        <f t="shared" si="8"/>
        <v>24.070237391163598</v>
      </c>
      <c r="O24" s="273">
        <v>0.62806109085719997</v>
      </c>
      <c r="P24" s="273">
        <f t="shared" si="9"/>
        <v>24.6982984820208</v>
      </c>
    </row>
    <row r="25" spans="1:16" ht="29.25" customHeight="1">
      <c r="A25" s="102" t="s">
        <v>469</v>
      </c>
      <c r="B25" s="103">
        <f>SUM(B13:B24)</f>
        <v>87316</v>
      </c>
      <c r="C25" s="103">
        <f>SUM(C13:C24)</f>
        <v>7.3345439999999998E-2</v>
      </c>
      <c r="D25" s="103"/>
      <c r="E25" s="103">
        <f>SUM(E13:E24)</f>
        <v>3.15385392</v>
      </c>
      <c r="F25" s="105"/>
      <c r="G25" s="103"/>
      <c r="H25" s="103"/>
      <c r="I25" s="269">
        <f>SUM(I13:I24)</f>
        <v>233700.57547200003</v>
      </c>
      <c r="J25" s="269">
        <f>SUM(J13:J24)</f>
        <v>12.300030288</v>
      </c>
      <c r="K25" s="269">
        <f>SUM(K13:K24)</f>
        <v>12.300030288</v>
      </c>
      <c r="L25" s="107"/>
      <c r="M25" s="107"/>
      <c r="N25" s="106">
        <f>SUM(N13:N24)</f>
        <v>237.40165458565917</v>
      </c>
      <c r="O25" s="274">
        <v>5.5546701671915999</v>
      </c>
      <c r="P25" s="274">
        <f>SUM(P13:P24)</f>
        <v>242.9563247528508</v>
      </c>
    </row>
    <row r="26" spans="1:16" ht="33" customHeight="1">
      <c r="A26" s="52"/>
      <c r="B26" s="272"/>
      <c r="C26" s="52"/>
      <c r="D26" s="52"/>
      <c r="E26" s="52"/>
      <c r="F26" s="52"/>
      <c r="G26" s="52"/>
      <c r="H26" s="52"/>
      <c r="I26" s="275">
        <f>+I25/1000</f>
        <v>233.70057547200003</v>
      </c>
      <c r="J26" s="276">
        <f>+J25*L24/1000</f>
        <v>0.34317084503520001</v>
      </c>
      <c r="K26" s="275">
        <f>+K25*M24/1000</f>
        <v>3.357908268624</v>
      </c>
      <c r="L26" s="52"/>
      <c r="M26" s="52"/>
      <c r="N26" s="52"/>
    </row>
    <row r="27" spans="1:16" ht="31.5" customHeight="1">
      <c r="A27" s="52"/>
      <c r="B27" s="52"/>
      <c r="C27" s="52"/>
      <c r="D27" s="52"/>
      <c r="E27" s="52"/>
      <c r="F27" s="52"/>
      <c r="G27" s="52"/>
      <c r="H27" s="52"/>
      <c r="I27" s="276"/>
      <c r="J27" s="276"/>
      <c r="K27" s="276"/>
      <c r="L27" s="52"/>
      <c r="M27" s="52"/>
      <c r="N27" s="52"/>
    </row>
    <row r="28" spans="1:16" ht="28.5" customHeight="1">
      <c r="A28" s="52"/>
      <c r="B28" s="52"/>
      <c r="C28" s="52"/>
      <c r="D28" s="52"/>
      <c r="E28" s="52"/>
      <c r="F28" s="52"/>
      <c r="G28" s="52"/>
      <c r="H28" s="52"/>
      <c r="I28" s="277"/>
      <c r="J28" s="277"/>
      <c r="K28" s="277"/>
      <c r="L28" s="52"/>
      <c r="M28" s="52"/>
      <c r="N28" s="52"/>
    </row>
    <row r="29" spans="1:16" ht="21.75" customHeight="1">
      <c r="A29" s="52"/>
      <c r="B29" s="52"/>
      <c r="C29" s="52"/>
      <c r="D29" s="52"/>
      <c r="E29" s="52"/>
      <c r="F29" s="52"/>
      <c r="G29" s="52"/>
      <c r="H29" s="52"/>
      <c r="I29" s="277"/>
      <c r="J29" s="277"/>
      <c r="K29" s="277"/>
      <c r="L29" s="52"/>
      <c r="M29" s="52"/>
      <c r="N29" s="52"/>
    </row>
    <row r="30" spans="1:16" ht="16.5">
      <c r="A30" s="961" t="s">
        <v>524</v>
      </c>
      <c r="B30" s="962"/>
      <c r="C30" s="962"/>
      <c r="D30" s="962"/>
      <c r="E30" s="962"/>
      <c r="F30" s="962"/>
      <c r="G30" s="962"/>
      <c r="H30" s="962"/>
      <c r="I30" s="962"/>
      <c r="J30" s="962"/>
      <c r="K30" s="962"/>
      <c r="L30" s="962"/>
      <c r="M30" s="962"/>
      <c r="N30" s="963"/>
    </row>
    <row r="31" spans="1:16" ht="16.5">
      <c r="A31" s="92"/>
      <c r="B31" s="94"/>
      <c r="C31" s="94"/>
      <c r="D31" s="94"/>
      <c r="E31" s="94"/>
      <c r="F31" s="94"/>
      <c r="G31" s="94"/>
      <c r="H31" s="94"/>
      <c r="I31" s="94"/>
      <c r="J31" s="94"/>
      <c r="K31" s="94"/>
      <c r="L31" s="94"/>
      <c r="M31" s="94"/>
      <c r="N31" s="93"/>
    </row>
    <row r="32" spans="1:16" ht="19.149999999999999" customHeight="1">
      <c r="A32" s="1012" t="s">
        <v>525</v>
      </c>
      <c r="B32" s="1012"/>
      <c r="C32" s="1012"/>
      <c r="D32" s="1012"/>
      <c r="E32" s="1012"/>
      <c r="F32" s="994" t="s">
        <v>526</v>
      </c>
      <c r="G32" s="965"/>
      <c r="H32" s="965"/>
      <c r="I32" s="965"/>
      <c r="J32" s="965"/>
      <c r="K32" s="965"/>
      <c r="L32" s="965"/>
      <c r="M32" s="965"/>
      <c r="N32" s="995"/>
    </row>
    <row r="33" spans="1:14" ht="25.15" customHeight="1">
      <c r="A33" s="671" t="s">
        <v>529</v>
      </c>
      <c r="B33" s="671"/>
      <c r="C33" s="671"/>
      <c r="D33" s="671"/>
      <c r="E33" s="671"/>
      <c r="F33" s="895" t="s">
        <v>530</v>
      </c>
      <c r="G33" s="895"/>
      <c r="H33" s="895"/>
      <c r="I33" s="895"/>
      <c r="J33" s="895"/>
      <c r="K33" s="895"/>
      <c r="L33" s="895"/>
      <c r="M33" s="895"/>
      <c r="N33" s="895"/>
    </row>
    <row r="34" spans="1:14" ht="25.15" customHeight="1">
      <c r="A34" s="671" t="s">
        <v>533</v>
      </c>
      <c r="B34" s="671"/>
      <c r="C34" s="671"/>
      <c r="D34" s="671"/>
      <c r="E34" s="671"/>
      <c r="F34" s="895">
        <v>0.84</v>
      </c>
      <c r="G34" s="895"/>
      <c r="H34" s="895"/>
      <c r="I34" s="895"/>
      <c r="J34" s="895"/>
      <c r="K34" s="895"/>
      <c r="L34" s="895"/>
      <c r="M34" s="895"/>
      <c r="N34" s="895"/>
    </row>
    <row r="35" spans="1:14" ht="52.15" customHeight="1">
      <c r="A35" s="676" t="s">
        <v>723</v>
      </c>
      <c r="B35" s="676"/>
      <c r="C35" s="676"/>
      <c r="D35" s="1011" t="s">
        <v>526</v>
      </c>
      <c r="E35" s="1011"/>
      <c r="F35" s="203" t="s">
        <v>527</v>
      </c>
      <c r="G35" s="682" t="s">
        <v>528</v>
      </c>
      <c r="H35" s="683"/>
      <c r="I35" s="683"/>
      <c r="J35" s="683"/>
      <c r="K35" s="683"/>
      <c r="L35" s="683"/>
      <c r="M35" s="683"/>
      <c r="N35" s="684"/>
    </row>
    <row r="36" spans="1:14" ht="24" customHeight="1">
      <c r="A36" s="671" t="s">
        <v>720</v>
      </c>
      <c r="B36" s="671"/>
      <c r="C36" s="671"/>
      <c r="D36" s="897">
        <v>43</v>
      </c>
      <c r="E36" s="897"/>
      <c r="F36" s="177" t="s">
        <v>539</v>
      </c>
      <c r="G36" s="728" t="s">
        <v>540</v>
      </c>
      <c r="H36" s="728"/>
      <c r="I36" s="728"/>
      <c r="J36" s="728"/>
      <c r="K36" s="728"/>
      <c r="L36" s="728"/>
      <c r="M36" s="728"/>
      <c r="N36" s="728"/>
    </row>
    <row r="37" spans="1:14" ht="23.45" customHeight="1">
      <c r="A37" s="895" t="s">
        <v>541</v>
      </c>
      <c r="B37" s="895"/>
      <c r="C37" s="895"/>
      <c r="D37" s="898">
        <v>74100</v>
      </c>
      <c r="E37" s="898"/>
      <c r="F37" s="177" t="s">
        <v>542</v>
      </c>
      <c r="G37" s="728" t="s">
        <v>724</v>
      </c>
      <c r="H37" s="728"/>
      <c r="I37" s="728"/>
      <c r="J37" s="728"/>
      <c r="K37" s="728"/>
      <c r="L37" s="728"/>
      <c r="M37" s="728"/>
      <c r="N37" s="728"/>
    </row>
    <row r="38" spans="1:14" ht="23.45" customHeight="1">
      <c r="A38" s="895" t="s">
        <v>545</v>
      </c>
      <c r="B38" s="895"/>
      <c r="C38" s="895"/>
      <c r="D38" s="896">
        <v>3.9</v>
      </c>
      <c r="E38" s="896"/>
      <c r="F38" s="177" t="s">
        <v>542</v>
      </c>
      <c r="G38" s="728" t="s">
        <v>725</v>
      </c>
      <c r="H38" s="728"/>
      <c r="I38" s="728"/>
      <c r="J38" s="728"/>
      <c r="K38" s="728"/>
      <c r="L38" s="728"/>
      <c r="M38" s="728"/>
      <c r="N38" s="728"/>
    </row>
    <row r="39" spans="1:14" ht="23.45" customHeight="1">
      <c r="A39" s="895" t="s">
        <v>547</v>
      </c>
      <c r="B39" s="895"/>
      <c r="C39" s="895"/>
      <c r="D39" s="896">
        <v>3.9</v>
      </c>
      <c r="E39" s="896"/>
      <c r="F39" s="177" t="s">
        <v>542</v>
      </c>
      <c r="G39" s="728" t="s">
        <v>726</v>
      </c>
      <c r="H39" s="728"/>
      <c r="I39" s="728"/>
      <c r="J39" s="728"/>
      <c r="K39" s="728"/>
      <c r="L39" s="728"/>
      <c r="M39" s="728"/>
      <c r="N39" s="728"/>
    </row>
    <row r="40" spans="1:14" ht="23.45" customHeight="1">
      <c r="A40" s="895" t="s">
        <v>549</v>
      </c>
      <c r="B40" s="895"/>
      <c r="C40" s="895"/>
      <c r="D40" s="896">
        <v>27.9</v>
      </c>
      <c r="E40" s="896"/>
      <c r="F40" s="177"/>
      <c r="G40" s="728" t="s">
        <v>550</v>
      </c>
      <c r="H40" s="728"/>
      <c r="I40" s="728"/>
      <c r="J40" s="728"/>
      <c r="K40" s="728"/>
      <c r="L40" s="728"/>
      <c r="M40" s="728"/>
      <c r="N40" s="728"/>
    </row>
    <row r="41" spans="1:14" ht="23.45" customHeight="1">
      <c r="A41" s="895" t="s">
        <v>551</v>
      </c>
      <c r="B41" s="895"/>
      <c r="C41" s="895"/>
      <c r="D41" s="896">
        <v>273</v>
      </c>
      <c r="E41" s="896"/>
      <c r="F41" s="177"/>
      <c r="G41" s="728" t="s">
        <v>550</v>
      </c>
      <c r="H41" s="728"/>
      <c r="I41" s="728"/>
      <c r="J41" s="728"/>
      <c r="K41" s="728"/>
      <c r="L41" s="728"/>
      <c r="M41" s="728"/>
      <c r="N41" s="728"/>
    </row>
  </sheetData>
  <mergeCells count="46">
    <mergeCell ref="A30:N30"/>
    <mergeCell ref="A32:E32"/>
    <mergeCell ref="F32:N32"/>
    <mergeCell ref="A33:E33"/>
    <mergeCell ref="F33:N33"/>
    <mergeCell ref="A41:C41"/>
    <mergeCell ref="D41:E41"/>
    <mergeCell ref="G41:N41"/>
    <mergeCell ref="A38:C38"/>
    <mergeCell ref="D38:E38"/>
    <mergeCell ref="G38:N38"/>
    <mergeCell ref="A39:C39"/>
    <mergeCell ref="D39:E39"/>
    <mergeCell ref="G39:N39"/>
    <mergeCell ref="O10:O12"/>
    <mergeCell ref="P10:P12"/>
    <mergeCell ref="A40:C40"/>
    <mergeCell ref="D40:E40"/>
    <mergeCell ref="G40:N40"/>
    <mergeCell ref="A36:C36"/>
    <mergeCell ref="D36:E36"/>
    <mergeCell ref="G36:N36"/>
    <mergeCell ref="A37:C37"/>
    <mergeCell ref="D37:E37"/>
    <mergeCell ref="G37:N37"/>
    <mergeCell ref="A34:E34"/>
    <mergeCell ref="F34:N34"/>
    <mergeCell ref="A35:C35"/>
    <mergeCell ref="D35:E35"/>
    <mergeCell ref="G35:N35"/>
    <mergeCell ref="A1:B3"/>
    <mergeCell ref="M1:N3"/>
    <mergeCell ref="C1:L3"/>
    <mergeCell ref="L10:L11"/>
    <mergeCell ref="M10:M11"/>
    <mergeCell ref="N10:N11"/>
    <mergeCell ref="A9:C9"/>
    <mergeCell ref="D9:E9"/>
    <mergeCell ref="G9:I9"/>
    <mergeCell ref="F10:H10"/>
    <mergeCell ref="I10:K10"/>
    <mergeCell ref="A10:A11"/>
    <mergeCell ref="B10:B11"/>
    <mergeCell ref="C10:C11"/>
    <mergeCell ref="D10:D11"/>
    <mergeCell ref="E10:E11"/>
  </mergeCells>
  <pageMargins left="0.98425196850393704" right="0.59055118110236204" top="0.78740157480314998" bottom="0.78740157480314998" header="0.31496062992126" footer="0.31496062992126"/>
  <pageSetup scale="46"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0"/>
    <pageSetUpPr fitToPage="1"/>
  </sheetPr>
  <dimension ref="A1:N42"/>
  <sheetViews>
    <sheetView zoomScale="80" zoomScaleNormal="80" workbookViewId="0">
      <selection activeCell="M1" sqref="M1:N3"/>
    </sheetView>
  </sheetViews>
  <sheetFormatPr defaultColWidth="9.28515625" defaultRowHeight="14.25"/>
  <cols>
    <col min="1" max="1" width="9" style="18" customWidth="1"/>
    <col min="2" max="2" width="21.28515625" style="18" customWidth="1"/>
    <col min="3" max="3" width="11.28515625" style="18" customWidth="1"/>
    <col min="4" max="4" width="13" style="18" customWidth="1"/>
    <col min="5" max="5" width="11" style="18" customWidth="1"/>
    <col min="6" max="7" width="12.28515625" style="18" customWidth="1"/>
    <col min="8" max="8" width="8" style="18" customWidth="1"/>
    <col min="9" max="9" width="17.28515625" style="18" customWidth="1"/>
    <col min="10" max="12" width="17" style="18" customWidth="1"/>
    <col min="13" max="13" width="11.42578125" style="18" customWidth="1"/>
    <col min="14" max="14" width="18.42578125" style="18" customWidth="1"/>
    <col min="15" max="15" width="23.28515625" style="18" customWidth="1"/>
    <col min="16" max="16384" width="9.28515625" style="18"/>
  </cols>
  <sheetData>
    <row r="1" spans="1:14" ht="25.9" customHeight="1">
      <c r="A1" s="926"/>
      <c r="B1" s="926"/>
      <c r="C1" s="901" t="s">
        <v>730</v>
      </c>
      <c r="D1" s="907"/>
      <c r="E1" s="907"/>
      <c r="F1" s="907"/>
      <c r="G1" s="907"/>
      <c r="H1" s="907"/>
      <c r="I1" s="907"/>
      <c r="J1" s="907"/>
      <c r="K1" s="907"/>
      <c r="L1" s="908"/>
      <c r="M1" s="901" t="s">
        <v>1120</v>
      </c>
      <c r="N1" s="902"/>
    </row>
    <row r="2" spans="1:14" ht="25.9" customHeight="1">
      <c r="A2" s="926"/>
      <c r="B2" s="926"/>
      <c r="C2" s="909"/>
      <c r="D2" s="910"/>
      <c r="E2" s="910"/>
      <c r="F2" s="910"/>
      <c r="G2" s="910"/>
      <c r="H2" s="910"/>
      <c r="I2" s="910"/>
      <c r="J2" s="910"/>
      <c r="K2" s="910"/>
      <c r="L2" s="911"/>
      <c r="M2" s="903"/>
      <c r="N2" s="904"/>
    </row>
    <row r="3" spans="1:14" ht="25.9" customHeight="1">
      <c r="A3" s="926"/>
      <c r="B3" s="926"/>
      <c r="C3" s="912"/>
      <c r="D3" s="913"/>
      <c r="E3" s="913"/>
      <c r="F3" s="913"/>
      <c r="G3" s="913"/>
      <c r="H3" s="913"/>
      <c r="I3" s="913"/>
      <c r="J3" s="913"/>
      <c r="K3" s="913"/>
      <c r="L3" s="914"/>
      <c r="M3" s="905"/>
      <c r="N3" s="906"/>
    </row>
    <row r="4" spans="1:14">
      <c r="A4" s="267"/>
      <c r="B4" s="208"/>
      <c r="C4" s="208"/>
      <c r="D4" s="208"/>
      <c r="E4" s="208"/>
      <c r="F4" s="208"/>
      <c r="G4" s="208"/>
      <c r="H4" s="208"/>
      <c r="I4" s="208"/>
      <c r="J4" s="208"/>
      <c r="K4" s="208"/>
      <c r="L4" s="208"/>
      <c r="M4" s="208"/>
      <c r="N4" s="209"/>
    </row>
    <row r="5" spans="1:14" ht="16.5">
      <c r="A5" s="91" t="s">
        <v>731</v>
      </c>
      <c r="B5" s="23"/>
      <c r="C5" s="23"/>
      <c r="D5" s="23"/>
      <c r="E5" s="23"/>
      <c r="F5" s="23"/>
      <c r="G5" s="23"/>
      <c r="H5" s="23"/>
      <c r="I5" s="23"/>
      <c r="J5" s="23"/>
      <c r="K5" s="23"/>
      <c r="L5" s="23"/>
      <c r="M5" s="23"/>
      <c r="N5" s="24"/>
    </row>
    <row r="6" spans="1:14" ht="19.5">
      <c r="A6" s="26" t="s">
        <v>491</v>
      </c>
      <c r="B6" s="23"/>
      <c r="C6" s="23"/>
      <c r="D6" s="23"/>
      <c r="E6" s="23"/>
      <c r="F6" s="23"/>
      <c r="G6" s="23"/>
      <c r="H6" s="23"/>
      <c r="I6" s="23"/>
      <c r="J6" s="23"/>
      <c r="K6" s="23"/>
      <c r="L6" s="23"/>
      <c r="M6" s="23"/>
      <c r="N6" s="24"/>
    </row>
    <row r="7" spans="1:14" ht="19.5">
      <c r="A7" s="26" t="s">
        <v>492</v>
      </c>
      <c r="B7" s="23"/>
      <c r="C7" s="23"/>
      <c r="D7" s="23"/>
      <c r="E7" s="23"/>
      <c r="F7" s="23"/>
      <c r="G7" s="23"/>
      <c r="H7" s="23"/>
      <c r="I7" s="23"/>
      <c r="J7" s="23"/>
      <c r="K7" s="23"/>
      <c r="L7" s="23"/>
      <c r="M7" s="23"/>
      <c r="N7" s="24"/>
    </row>
    <row r="8" spans="1:14" ht="16.5">
      <c r="A8" s="27" t="s">
        <v>493</v>
      </c>
      <c r="B8" s="23"/>
      <c r="C8" s="23"/>
      <c r="D8" s="23"/>
      <c r="E8" s="23"/>
      <c r="F8" s="23"/>
      <c r="G8" s="23"/>
      <c r="H8" s="23"/>
      <c r="I8" s="23"/>
      <c r="J8" s="23"/>
      <c r="K8" s="23"/>
      <c r="L8" s="23"/>
      <c r="M8" s="23"/>
      <c r="N8" s="24"/>
    </row>
    <row r="9" spans="1:14" ht="16.5">
      <c r="A9" s="92"/>
      <c r="B9" s="94"/>
      <c r="C9" s="94"/>
      <c r="D9" s="94"/>
      <c r="E9" s="94"/>
      <c r="F9" s="94"/>
      <c r="G9" s="94"/>
      <c r="H9" s="94"/>
      <c r="I9" s="94"/>
      <c r="J9" s="94"/>
      <c r="K9" s="94"/>
      <c r="L9" s="94"/>
      <c r="M9" s="94"/>
      <c r="N9" s="93"/>
    </row>
    <row r="10" spans="1:14" ht="68.45" customHeight="1">
      <c r="A10" s="863" t="s">
        <v>494</v>
      </c>
      <c r="B10" s="863" t="s">
        <v>591</v>
      </c>
      <c r="C10" s="863" t="s">
        <v>555</v>
      </c>
      <c r="D10" s="863" t="s">
        <v>556</v>
      </c>
      <c r="E10" s="863" t="s">
        <v>557</v>
      </c>
      <c r="F10" s="863" t="s">
        <v>732</v>
      </c>
      <c r="G10" s="863"/>
      <c r="H10" s="863"/>
      <c r="I10" s="863" t="s">
        <v>500</v>
      </c>
      <c r="J10" s="863"/>
      <c r="K10" s="863"/>
      <c r="L10" s="863" t="s">
        <v>503</v>
      </c>
      <c r="M10" s="863" t="s">
        <v>504</v>
      </c>
      <c r="N10" s="863" t="s">
        <v>505</v>
      </c>
    </row>
    <row r="11" spans="1:14" ht="40.9" customHeight="1">
      <c r="A11" s="863"/>
      <c r="B11" s="863"/>
      <c r="C11" s="863"/>
      <c r="D11" s="863"/>
      <c r="E11" s="863"/>
      <c r="F11" s="28" t="s">
        <v>506</v>
      </c>
      <c r="G11" s="28" t="s">
        <v>507</v>
      </c>
      <c r="H11" s="28" t="s">
        <v>508</v>
      </c>
      <c r="I11" s="28" t="s">
        <v>509</v>
      </c>
      <c r="J11" s="28" t="s">
        <v>501</v>
      </c>
      <c r="K11" s="28" t="s">
        <v>502</v>
      </c>
      <c r="L11" s="863"/>
      <c r="M11" s="863"/>
      <c r="N11" s="863"/>
    </row>
    <row r="12" spans="1:14" ht="66">
      <c r="A12" s="567" t="s">
        <v>510</v>
      </c>
      <c r="B12" s="567" t="s">
        <v>511</v>
      </c>
      <c r="C12" s="567" t="s">
        <v>592</v>
      </c>
      <c r="D12" s="567" t="s">
        <v>513</v>
      </c>
      <c r="E12" s="30" t="s">
        <v>514</v>
      </c>
      <c r="F12" s="567" t="s">
        <v>515</v>
      </c>
      <c r="G12" s="567" t="s">
        <v>516</v>
      </c>
      <c r="H12" s="567" t="s">
        <v>517</v>
      </c>
      <c r="I12" s="30" t="s">
        <v>518</v>
      </c>
      <c r="J12" s="30" t="s">
        <v>519</v>
      </c>
      <c r="K12" s="30" t="s">
        <v>520</v>
      </c>
      <c r="L12" s="576" t="s">
        <v>521</v>
      </c>
      <c r="M12" s="576" t="s">
        <v>522</v>
      </c>
      <c r="N12" s="30" t="s">
        <v>523</v>
      </c>
    </row>
    <row r="13" spans="1:14" ht="29.25" customHeight="1">
      <c r="A13" s="30">
        <v>1</v>
      </c>
      <c r="B13" s="174">
        <v>287.58999999999997</v>
      </c>
      <c r="C13" s="268">
        <f>+B13*$F$32/10^6</f>
        <v>2.1281659999999996E-4</v>
      </c>
      <c r="D13" s="174">
        <v>44.3</v>
      </c>
      <c r="E13" s="101">
        <f>+C13*D13</f>
        <v>9.4277753799999978E-3</v>
      </c>
      <c r="F13" s="100">
        <f>+$D$35</f>
        <v>69300</v>
      </c>
      <c r="G13" s="33">
        <f>+$D$36</f>
        <v>33</v>
      </c>
      <c r="H13" s="33">
        <f>+$D$37</f>
        <v>3.2</v>
      </c>
      <c r="I13" s="99">
        <f>+E13*F13</f>
        <v>653.34483383399981</v>
      </c>
      <c r="J13" s="99">
        <f>+E13*G13</f>
        <v>0.31111658753999993</v>
      </c>
      <c r="K13" s="99">
        <f>+E13*H13</f>
        <v>3.0168881215999994E-2</v>
      </c>
      <c r="L13" s="30">
        <v>27.9</v>
      </c>
      <c r="M13" s="30">
        <v>273</v>
      </c>
      <c r="N13" s="101">
        <f>+(I13+J13*L13+K13*M13)/1000</f>
        <v>0.67026109119833377</v>
      </c>
    </row>
    <row r="14" spans="1:14" ht="29.25" customHeight="1">
      <c r="A14" s="30">
        <v>2</v>
      </c>
      <c r="B14" s="174">
        <v>287.89</v>
      </c>
      <c r="C14" s="268">
        <f t="shared" ref="C14:C24" si="0">+B14*$F$32/10^6</f>
        <v>2.1303859999999996E-4</v>
      </c>
      <c r="D14" s="174">
        <v>44.3</v>
      </c>
      <c r="E14" s="101">
        <f t="shared" ref="E14:E24" si="1">+C14*D14</f>
        <v>9.4376099799999974E-3</v>
      </c>
      <c r="F14" s="100">
        <f t="shared" ref="F14:F24" si="2">+$D$35</f>
        <v>69300</v>
      </c>
      <c r="G14" s="33">
        <f t="shared" ref="G14:G24" si="3">+$D$36</f>
        <v>33</v>
      </c>
      <c r="H14" s="33">
        <f t="shared" ref="H14:H24" si="4">+$D$37</f>
        <v>3.2</v>
      </c>
      <c r="I14" s="99">
        <f t="shared" ref="I14:I24" si="5">+E14*F14</f>
        <v>654.0263716139998</v>
      </c>
      <c r="J14" s="99">
        <f t="shared" ref="J14:J24" si="6">+E14*G14</f>
        <v>0.3114411293399999</v>
      </c>
      <c r="K14" s="99">
        <f t="shared" ref="K14:K24" si="7">+E14*H14</f>
        <v>3.0200351935999993E-2</v>
      </c>
      <c r="L14" s="30">
        <v>27.9</v>
      </c>
      <c r="M14" s="30">
        <v>273</v>
      </c>
      <c r="N14" s="101">
        <f t="shared" ref="N14:N24" si="8">+(I14+J14*L14+K14*M14)/1000</f>
        <v>0.6709602752011139</v>
      </c>
    </row>
    <row r="15" spans="1:14" ht="29.25" customHeight="1">
      <c r="A15" s="30">
        <v>3</v>
      </c>
      <c r="B15" s="174">
        <v>407.32</v>
      </c>
      <c r="C15" s="268">
        <f t="shared" si="0"/>
        <v>3.0141679999999999E-4</v>
      </c>
      <c r="D15" s="174">
        <v>44.3</v>
      </c>
      <c r="E15" s="101">
        <f t="shared" si="1"/>
        <v>1.3352764239999999E-2</v>
      </c>
      <c r="F15" s="100">
        <f t="shared" si="2"/>
        <v>69300</v>
      </c>
      <c r="G15" s="33">
        <f t="shared" si="3"/>
        <v>33</v>
      </c>
      <c r="H15" s="33">
        <f t="shared" si="4"/>
        <v>3.2</v>
      </c>
      <c r="I15" s="99">
        <f t="shared" si="5"/>
        <v>925.34656183199991</v>
      </c>
      <c r="J15" s="99">
        <f t="shared" si="6"/>
        <v>0.44064121991999994</v>
      </c>
      <c r="K15" s="99">
        <f t="shared" si="7"/>
        <v>4.2728845567999996E-2</v>
      </c>
      <c r="L15" s="30">
        <v>27.9</v>
      </c>
      <c r="M15" s="30">
        <v>273</v>
      </c>
      <c r="N15" s="101">
        <f t="shared" si="8"/>
        <v>0.94930542670783191</v>
      </c>
    </row>
    <row r="16" spans="1:14" ht="29.25" customHeight="1">
      <c r="A16" s="30">
        <v>4</v>
      </c>
      <c r="B16" s="174">
        <v>374.65</v>
      </c>
      <c r="C16" s="268">
        <f t="shared" si="0"/>
        <v>2.7724100000000001E-4</v>
      </c>
      <c r="D16" s="174">
        <v>44.3</v>
      </c>
      <c r="E16" s="101">
        <f t="shared" si="1"/>
        <v>1.22817763E-2</v>
      </c>
      <c r="F16" s="100">
        <f t="shared" si="2"/>
        <v>69300</v>
      </c>
      <c r="G16" s="33">
        <f t="shared" si="3"/>
        <v>33</v>
      </c>
      <c r="H16" s="33">
        <f t="shared" si="4"/>
        <v>3.2</v>
      </c>
      <c r="I16" s="99">
        <f t="shared" si="5"/>
        <v>851.12709758999995</v>
      </c>
      <c r="J16" s="99">
        <f t="shared" si="6"/>
        <v>0.40529861789999999</v>
      </c>
      <c r="K16" s="99">
        <f t="shared" si="7"/>
        <v>3.9301684160000003E-2</v>
      </c>
      <c r="L16" s="30">
        <v>27.9</v>
      </c>
      <c r="M16" s="30">
        <v>273</v>
      </c>
      <c r="N16" s="101">
        <f t="shared" si="8"/>
        <v>0.87316428880509001</v>
      </c>
    </row>
    <row r="17" spans="1:14" ht="29.25" customHeight="1">
      <c r="A17" s="30">
        <v>5</v>
      </c>
      <c r="B17" s="174">
        <v>461.65</v>
      </c>
      <c r="C17" s="268">
        <f t="shared" si="0"/>
        <v>3.4162099999999996E-4</v>
      </c>
      <c r="D17" s="174">
        <v>44.3</v>
      </c>
      <c r="E17" s="101">
        <f t="shared" si="1"/>
        <v>1.5133810299999998E-2</v>
      </c>
      <c r="F17" s="100">
        <f t="shared" si="2"/>
        <v>69300</v>
      </c>
      <c r="G17" s="33">
        <f t="shared" si="3"/>
        <v>33</v>
      </c>
      <c r="H17" s="33">
        <f t="shared" si="4"/>
        <v>3.2</v>
      </c>
      <c r="I17" s="99">
        <f t="shared" si="5"/>
        <v>1048.7730537899999</v>
      </c>
      <c r="J17" s="99">
        <f t="shared" si="6"/>
        <v>0.49941573989999993</v>
      </c>
      <c r="K17" s="99">
        <f t="shared" si="7"/>
        <v>4.8428192959999998E-2</v>
      </c>
      <c r="L17" s="30">
        <v>27.9</v>
      </c>
      <c r="M17" s="30">
        <v>273</v>
      </c>
      <c r="N17" s="101">
        <f t="shared" si="8"/>
        <v>1.0759276496112899</v>
      </c>
    </row>
    <row r="18" spans="1:14" ht="29.25" customHeight="1">
      <c r="A18" s="30">
        <v>6</v>
      </c>
      <c r="B18" s="174">
        <v>445.21</v>
      </c>
      <c r="C18" s="268">
        <f t="shared" si="0"/>
        <v>3.2945540000000001E-4</v>
      </c>
      <c r="D18" s="174">
        <v>44.3</v>
      </c>
      <c r="E18" s="101">
        <f t="shared" si="1"/>
        <v>1.459487422E-2</v>
      </c>
      <c r="F18" s="100">
        <f t="shared" si="2"/>
        <v>69300</v>
      </c>
      <c r="G18" s="33">
        <f t="shared" si="3"/>
        <v>33</v>
      </c>
      <c r="H18" s="33">
        <f t="shared" si="4"/>
        <v>3.2</v>
      </c>
      <c r="I18" s="99">
        <f t="shared" si="5"/>
        <v>1011.424783446</v>
      </c>
      <c r="J18" s="99">
        <f t="shared" si="6"/>
        <v>0.48163084925999999</v>
      </c>
      <c r="K18" s="99">
        <f t="shared" si="7"/>
        <v>4.6703597504000001E-2</v>
      </c>
      <c r="L18" s="30">
        <v>27.9</v>
      </c>
      <c r="M18" s="30">
        <v>273</v>
      </c>
      <c r="N18" s="101">
        <f t="shared" si="8"/>
        <v>1.037612366258946</v>
      </c>
    </row>
    <row r="19" spans="1:14" ht="29.25" customHeight="1">
      <c r="A19" s="30">
        <v>7</v>
      </c>
      <c r="B19" s="174">
        <v>421.99</v>
      </c>
      <c r="C19" s="268">
        <f t="shared" si="0"/>
        <v>3.1227260000000004E-4</v>
      </c>
      <c r="D19" s="174">
        <v>44.3</v>
      </c>
      <c r="E19" s="101">
        <f t="shared" si="1"/>
        <v>1.3833676180000001E-2</v>
      </c>
      <c r="F19" s="100">
        <f t="shared" si="2"/>
        <v>69300</v>
      </c>
      <c r="G19" s="33">
        <f t="shared" si="3"/>
        <v>33</v>
      </c>
      <c r="H19" s="33">
        <f t="shared" si="4"/>
        <v>3.2</v>
      </c>
      <c r="I19" s="99">
        <f t="shared" si="5"/>
        <v>958.67375927400008</v>
      </c>
      <c r="J19" s="99">
        <f t="shared" si="6"/>
        <v>0.45651131394</v>
      </c>
      <c r="K19" s="99">
        <f t="shared" si="7"/>
        <v>4.4267763776000002E-2</v>
      </c>
      <c r="L19" s="30">
        <v>27.9</v>
      </c>
      <c r="M19" s="30">
        <v>273</v>
      </c>
      <c r="N19" s="101">
        <f t="shared" si="8"/>
        <v>0.98349552444377397</v>
      </c>
    </row>
    <row r="20" spans="1:14" ht="29.25" customHeight="1">
      <c r="A20" s="30">
        <v>8</v>
      </c>
      <c r="B20" s="174">
        <v>363.53</v>
      </c>
      <c r="C20" s="268">
        <f t="shared" si="0"/>
        <v>2.6901219999999997E-4</v>
      </c>
      <c r="D20" s="174">
        <v>44.3</v>
      </c>
      <c r="E20" s="101">
        <f t="shared" si="1"/>
        <v>1.1917240459999997E-2</v>
      </c>
      <c r="F20" s="100">
        <f t="shared" si="2"/>
        <v>69300</v>
      </c>
      <c r="G20" s="33">
        <f t="shared" si="3"/>
        <v>33</v>
      </c>
      <c r="H20" s="33">
        <f t="shared" si="4"/>
        <v>3.2</v>
      </c>
      <c r="I20" s="99">
        <f t="shared" si="5"/>
        <v>825.86476387799985</v>
      </c>
      <c r="J20" s="99">
        <f t="shared" si="6"/>
        <v>0.39326893517999989</v>
      </c>
      <c r="K20" s="99">
        <f t="shared" si="7"/>
        <v>3.8135169471999991E-2</v>
      </c>
      <c r="L20" s="30">
        <v>27.9</v>
      </c>
      <c r="M20" s="30">
        <v>273</v>
      </c>
      <c r="N20" s="101">
        <f t="shared" si="8"/>
        <v>0.8472478684353778</v>
      </c>
    </row>
    <row r="21" spans="1:14" ht="29.25" customHeight="1">
      <c r="A21" s="30">
        <v>9</v>
      </c>
      <c r="B21" s="174">
        <v>344.98</v>
      </c>
      <c r="C21" s="268">
        <f t="shared" si="0"/>
        <v>2.5528520000000002E-4</v>
      </c>
      <c r="D21" s="174">
        <v>44.3</v>
      </c>
      <c r="E21" s="101">
        <f t="shared" si="1"/>
        <v>1.130913436E-2</v>
      </c>
      <c r="F21" s="100">
        <f t="shared" si="2"/>
        <v>69300</v>
      </c>
      <c r="G21" s="33">
        <f t="shared" si="3"/>
        <v>33</v>
      </c>
      <c r="H21" s="33">
        <f t="shared" si="4"/>
        <v>3.2</v>
      </c>
      <c r="I21" s="99">
        <f t="shared" si="5"/>
        <v>783.72301114800007</v>
      </c>
      <c r="J21" s="99">
        <f t="shared" si="6"/>
        <v>0.37320143388000004</v>
      </c>
      <c r="K21" s="99">
        <f t="shared" si="7"/>
        <v>3.6189229952000003E-2</v>
      </c>
      <c r="L21" s="30">
        <v>27.9</v>
      </c>
      <c r="M21" s="30">
        <v>273</v>
      </c>
      <c r="N21" s="101">
        <f t="shared" si="8"/>
        <v>0.80401499093014805</v>
      </c>
    </row>
    <row r="22" spans="1:14" ht="29.25" customHeight="1">
      <c r="A22" s="30">
        <v>10</v>
      </c>
      <c r="B22" s="174">
        <v>510.62</v>
      </c>
      <c r="C22" s="268">
        <f t="shared" si="0"/>
        <v>3.7785879999999996E-4</v>
      </c>
      <c r="D22" s="174">
        <v>44.3</v>
      </c>
      <c r="E22" s="101">
        <f t="shared" si="1"/>
        <v>1.6739144839999998E-2</v>
      </c>
      <c r="F22" s="100">
        <f t="shared" si="2"/>
        <v>69300</v>
      </c>
      <c r="G22" s="33">
        <f t="shared" si="3"/>
        <v>33</v>
      </c>
      <c r="H22" s="33">
        <f t="shared" si="4"/>
        <v>3.2</v>
      </c>
      <c r="I22" s="99">
        <f t="shared" si="5"/>
        <v>1160.0227374119997</v>
      </c>
      <c r="J22" s="99">
        <f t="shared" si="6"/>
        <v>0.55239177971999998</v>
      </c>
      <c r="K22" s="99">
        <f t="shared" si="7"/>
        <v>5.3565263487999996E-2</v>
      </c>
      <c r="L22" s="30">
        <v>27.9</v>
      </c>
      <c r="M22" s="30">
        <v>273</v>
      </c>
      <c r="N22" s="101">
        <f t="shared" si="8"/>
        <v>1.1900577849984117</v>
      </c>
    </row>
    <row r="23" spans="1:14" ht="29.25" customHeight="1">
      <c r="A23" s="30">
        <v>11</v>
      </c>
      <c r="B23" s="174">
        <v>622.66999999999996</v>
      </c>
      <c r="C23" s="268">
        <f t="shared" si="0"/>
        <v>4.6077579999999997E-4</v>
      </c>
      <c r="D23" s="174">
        <v>44.3</v>
      </c>
      <c r="E23" s="101">
        <f t="shared" si="1"/>
        <v>2.0412367939999999E-2</v>
      </c>
      <c r="F23" s="100">
        <f t="shared" si="2"/>
        <v>69300</v>
      </c>
      <c r="G23" s="33">
        <f t="shared" si="3"/>
        <v>33</v>
      </c>
      <c r="H23" s="33">
        <f t="shared" si="4"/>
        <v>3.2</v>
      </c>
      <c r="I23" s="99">
        <f t="shared" si="5"/>
        <v>1414.5770982419999</v>
      </c>
      <c r="J23" s="99">
        <f t="shared" si="6"/>
        <v>0.67360814201999997</v>
      </c>
      <c r="K23" s="99">
        <f t="shared" si="7"/>
        <v>6.5319577407999999E-2</v>
      </c>
      <c r="L23" s="30">
        <v>27.9</v>
      </c>
      <c r="M23" s="30">
        <v>273</v>
      </c>
      <c r="N23" s="101">
        <f t="shared" si="8"/>
        <v>1.4512030100367417</v>
      </c>
    </row>
    <row r="24" spans="1:14" ht="29.25" customHeight="1">
      <c r="A24" s="30">
        <v>12</v>
      </c>
      <c r="B24" s="174">
        <v>561.20000000000005</v>
      </c>
      <c r="C24" s="268">
        <f t="shared" si="0"/>
        <v>4.1528799999999999E-4</v>
      </c>
      <c r="D24" s="174">
        <v>44.3</v>
      </c>
      <c r="E24" s="101">
        <f t="shared" si="1"/>
        <v>1.8397258399999998E-2</v>
      </c>
      <c r="F24" s="100">
        <f t="shared" si="2"/>
        <v>69300</v>
      </c>
      <c r="G24" s="33">
        <f t="shared" si="3"/>
        <v>33</v>
      </c>
      <c r="H24" s="33">
        <f t="shared" si="4"/>
        <v>3.2</v>
      </c>
      <c r="I24" s="99">
        <f t="shared" si="5"/>
        <v>1274.9300071199998</v>
      </c>
      <c r="J24" s="99">
        <f t="shared" si="6"/>
        <v>0.60710952719999989</v>
      </c>
      <c r="K24" s="99">
        <f t="shared" si="7"/>
        <v>5.8871226879999995E-2</v>
      </c>
      <c r="L24" s="30">
        <v>27.9</v>
      </c>
      <c r="M24" s="30">
        <v>273</v>
      </c>
      <c r="N24" s="101">
        <f t="shared" si="8"/>
        <v>1.3079402078671198</v>
      </c>
    </row>
    <row r="25" spans="1:14" ht="32.25" customHeight="1">
      <c r="A25" s="102" t="s">
        <v>469</v>
      </c>
      <c r="B25" s="103">
        <f>SUM(B13:B24)</f>
        <v>5089.2999999999993</v>
      </c>
      <c r="C25" s="103">
        <f>SUM(C13:C24)</f>
        <v>3.7660819999999996E-3</v>
      </c>
      <c r="D25" s="103"/>
      <c r="E25" s="103">
        <f>SUM(E13:E24)</f>
        <v>0.1668374326</v>
      </c>
      <c r="F25" s="105"/>
      <c r="G25" s="103"/>
      <c r="H25" s="103"/>
      <c r="I25" s="269">
        <f>SUM(I13:I24)</f>
        <v>11561.83407918</v>
      </c>
      <c r="J25" s="269">
        <f>SUM(J13:J24)</f>
        <v>5.5056352757999987</v>
      </c>
      <c r="K25" s="269">
        <f>SUM(K13:K24)</f>
        <v>0.53387978431999994</v>
      </c>
      <c r="L25" s="107"/>
      <c r="M25" s="107"/>
      <c r="N25" s="106">
        <f>SUM(N13:N24)</f>
        <v>11.86119048449418</v>
      </c>
    </row>
    <row r="26" spans="1:14" ht="16.5">
      <c r="A26" s="23"/>
      <c r="B26" s="23"/>
      <c r="C26" s="23"/>
      <c r="D26" s="23"/>
      <c r="E26" s="23"/>
      <c r="F26" s="23"/>
      <c r="G26" s="23"/>
      <c r="H26" s="23"/>
      <c r="I26" s="270">
        <f>+I25/1000</f>
        <v>11.561834079180001</v>
      </c>
      <c r="J26" s="271">
        <f>+J25*L24/1000</f>
        <v>0.15360722419481995</v>
      </c>
      <c r="K26" s="270">
        <f>+K25*M24/1000</f>
        <v>0.14574918111935997</v>
      </c>
      <c r="L26" s="23"/>
      <c r="M26" s="23"/>
      <c r="N26" s="23"/>
    </row>
    <row r="27" spans="1:14" ht="9" customHeight="1">
      <c r="A27" s="23"/>
      <c r="B27" s="23"/>
      <c r="C27" s="23"/>
      <c r="D27" s="23"/>
      <c r="E27" s="23"/>
      <c r="F27" s="23"/>
      <c r="G27" s="23"/>
      <c r="H27" s="23"/>
      <c r="I27" s="23"/>
      <c r="J27" s="23"/>
      <c r="K27" s="23"/>
      <c r="L27" s="23"/>
      <c r="M27" s="23"/>
      <c r="N27" s="23"/>
    </row>
    <row r="28" spans="1:14" ht="16.5">
      <c r="A28" s="961" t="s">
        <v>524</v>
      </c>
      <c r="B28" s="962"/>
      <c r="C28" s="962"/>
      <c r="D28" s="962"/>
      <c r="E28" s="962"/>
      <c r="F28" s="962"/>
      <c r="G28" s="962"/>
      <c r="H28" s="962"/>
      <c r="I28" s="962"/>
      <c r="J28" s="962"/>
      <c r="K28" s="962"/>
      <c r="L28" s="962"/>
      <c r="M28" s="962"/>
      <c r="N28" s="963"/>
    </row>
    <row r="29" spans="1:14" ht="16.5">
      <c r="A29" s="92"/>
      <c r="B29" s="94"/>
      <c r="C29" s="94"/>
      <c r="D29" s="94"/>
      <c r="E29" s="94"/>
      <c r="F29" s="94"/>
      <c r="G29" s="94"/>
      <c r="H29" s="94"/>
      <c r="I29" s="94"/>
      <c r="J29" s="94"/>
      <c r="K29" s="94"/>
      <c r="L29" s="94"/>
      <c r="M29" s="94"/>
      <c r="N29" s="93"/>
    </row>
    <row r="30" spans="1:14" ht="19.149999999999999" customHeight="1">
      <c r="A30" s="1012" t="s">
        <v>525</v>
      </c>
      <c r="B30" s="1012"/>
      <c r="C30" s="1012"/>
      <c r="D30" s="1012"/>
      <c r="E30" s="1012"/>
      <c r="F30" s="994" t="s">
        <v>526</v>
      </c>
      <c r="G30" s="965"/>
      <c r="H30" s="965"/>
      <c r="I30" s="965"/>
      <c r="J30" s="965"/>
      <c r="K30" s="965"/>
      <c r="L30" s="965"/>
      <c r="M30" s="965"/>
      <c r="N30" s="995"/>
    </row>
    <row r="31" spans="1:14" ht="25.15" customHeight="1">
      <c r="A31" s="671" t="s">
        <v>529</v>
      </c>
      <c r="B31" s="671"/>
      <c r="C31" s="671"/>
      <c r="D31" s="671"/>
      <c r="E31" s="671"/>
      <c r="F31" s="895" t="s">
        <v>530</v>
      </c>
      <c r="G31" s="895"/>
      <c r="H31" s="895"/>
      <c r="I31" s="895"/>
      <c r="J31" s="895"/>
      <c r="K31" s="895"/>
      <c r="L31" s="895"/>
      <c r="M31" s="895"/>
      <c r="N31" s="895"/>
    </row>
    <row r="32" spans="1:14" ht="25.15" customHeight="1">
      <c r="A32" s="671" t="s">
        <v>593</v>
      </c>
      <c r="B32" s="671"/>
      <c r="C32" s="671"/>
      <c r="D32" s="671"/>
      <c r="E32" s="671"/>
      <c r="F32" s="895">
        <v>0.74</v>
      </c>
      <c r="G32" s="895"/>
      <c r="H32" s="895"/>
      <c r="I32" s="895"/>
      <c r="J32" s="895"/>
      <c r="K32" s="895"/>
      <c r="L32" s="895"/>
      <c r="M32" s="895"/>
      <c r="N32" s="895"/>
    </row>
    <row r="33" spans="1:14" ht="51.6" customHeight="1">
      <c r="A33" s="863" t="s">
        <v>733</v>
      </c>
      <c r="B33" s="863"/>
      <c r="C33" s="863"/>
      <c r="D33" s="899" t="s">
        <v>526</v>
      </c>
      <c r="E33" s="899"/>
      <c r="F33" s="46" t="s">
        <v>527</v>
      </c>
      <c r="G33" s="951" t="s">
        <v>528</v>
      </c>
      <c r="H33" s="952"/>
      <c r="I33" s="952"/>
      <c r="J33" s="952"/>
      <c r="K33" s="952"/>
      <c r="L33" s="952"/>
      <c r="M33" s="952"/>
      <c r="N33" s="953"/>
    </row>
    <row r="34" spans="1:14" ht="24" customHeight="1">
      <c r="A34" s="671" t="s">
        <v>734</v>
      </c>
      <c r="B34" s="671"/>
      <c r="C34" s="671"/>
      <c r="D34" s="897">
        <v>44.3</v>
      </c>
      <c r="E34" s="897"/>
      <c r="F34" s="177" t="s">
        <v>539</v>
      </c>
      <c r="G34" s="895" t="s">
        <v>735</v>
      </c>
      <c r="H34" s="895"/>
      <c r="I34" s="895"/>
      <c r="J34" s="895"/>
      <c r="K34" s="895"/>
      <c r="L34" s="895"/>
      <c r="M34" s="895"/>
      <c r="N34" s="895"/>
    </row>
    <row r="35" spans="1:14" ht="23.45" customHeight="1">
      <c r="A35" s="895" t="s">
        <v>541</v>
      </c>
      <c r="B35" s="895"/>
      <c r="C35" s="895"/>
      <c r="D35" s="898">
        <v>69300</v>
      </c>
      <c r="E35" s="898"/>
      <c r="F35" s="177" t="s">
        <v>542</v>
      </c>
      <c r="G35" s="895" t="s">
        <v>736</v>
      </c>
      <c r="H35" s="895"/>
      <c r="I35" s="895"/>
      <c r="J35" s="895"/>
      <c r="K35" s="895"/>
      <c r="L35" s="895"/>
      <c r="M35" s="895"/>
      <c r="N35" s="895"/>
    </row>
    <row r="36" spans="1:14" ht="23.45" customHeight="1">
      <c r="A36" s="895" t="s">
        <v>545</v>
      </c>
      <c r="B36" s="895"/>
      <c r="C36" s="895"/>
      <c r="D36" s="896">
        <v>33</v>
      </c>
      <c r="E36" s="896"/>
      <c r="F36" s="177" t="s">
        <v>542</v>
      </c>
      <c r="G36" s="895" t="s">
        <v>737</v>
      </c>
      <c r="H36" s="895"/>
      <c r="I36" s="895"/>
      <c r="J36" s="895"/>
      <c r="K36" s="895"/>
      <c r="L36" s="895"/>
      <c r="M36" s="895"/>
      <c r="N36" s="895"/>
    </row>
    <row r="37" spans="1:14" ht="23.45" customHeight="1">
      <c r="A37" s="895" t="s">
        <v>547</v>
      </c>
      <c r="B37" s="895"/>
      <c r="C37" s="895"/>
      <c r="D37" s="896">
        <v>3.2</v>
      </c>
      <c r="E37" s="896"/>
      <c r="F37" s="177" t="s">
        <v>542</v>
      </c>
      <c r="G37" s="895" t="s">
        <v>738</v>
      </c>
      <c r="H37" s="895"/>
      <c r="I37" s="895"/>
      <c r="J37" s="895"/>
      <c r="K37" s="895"/>
      <c r="L37" s="895"/>
      <c r="M37" s="895"/>
      <c r="N37" s="895"/>
    </row>
    <row r="38" spans="1:14" ht="23.45" customHeight="1">
      <c r="A38" s="895" t="s">
        <v>549</v>
      </c>
      <c r="B38" s="895"/>
      <c r="C38" s="895"/>
      <c r="D38" s="896">
        <v>27.9</v>
      </c>
      <c r="E38" s="896"/>
      <c r="F38" s="177"/>
      <c r="G38" s="895" t="s">
        <v>550</v>
      </c>
      <c r="H38" s="895"/>
      <c r="I38" s="895"/>
      <c r="J38" s="895"/>
      <c r="K38" s="895"/>
      <c r="L38" s="895"/>
      <c r="M38" s="895"/>
      <c r="N38" s="895"/>
    </row>
    <row r="39" spans="1:14" ht="23.45" customHeight="1">
      <c r="A39" s="895" t="s">
        <v>551</v>
      </c>
      <c r="B39" s="895"/>
      <c r="C39" s="895"/>
      <c r="D39" s="896">
        <v>273</v>
      </c>
      <c r="E39" s="896"/>
      <c r="F39" s="177"/>
      <c r="G39" s="895" t="s">
        <v>550</v>
      </c>
      <c r="H39" s="895"/>
      <c r="I39" s="895"/>
      <c r="J39" s="895"/>
      <c r="K39" s="895"/>
      <c r="L39" s="895"/>
      <c r="M39" s="895"/>
      <c r="N39" s="895"/>
    </row>
    <row r="40" spans="1:14">
      <c r="A40" s="208"/>
      <c r="B40" s="208"/>
      <c r="C40" s="208"/>
      <c r="D40" s="208"/>
      <c r="E40" s="208"/>
      <c r="F40" s="208"/>
      <c r="G40" s="208"/>
      <c r="H40" s="208"/>
      <c r="I40" s="208"/>
      <c r="J40" s="208"/>
      <c r="K40" s="208"/>
      <c r="L40" s="208"/>
      <c r="M40" s="208"/>
      <c r="N40" s="208"/>
    </row>
    <row r="41" spans="1:14">
      <c r="A41" s="1013"/>
      <c r="B41" s="1013"/>
      <c r="C41" s="1013"/>
      <c r="D41" s="1013"/>
      <c r="E41" s="1013"/>
      <c r="F41" s="114"/>
      <c r="G41" s="1013"/>
      <c r="H41" s="1013"/>
      <c r="I41" s="1013"/>
      <c r="J41" s="208"/>
      <c r="K41" s="208"/>
      <c r="L41" s="208"/>
      <c r="M41" s="208"/>
      <c r="N41" s="208"/>
    </row>
    <row r="42" spans="1:14">
      <c r="A42" s="208"/>
      <c r="B42" s="208"/>
      <c r="C42" s="208"/>
      <c r="D42" s="208"/>
      <c r="E42" s="208"/>
      <c r="F42" s="208"/>
      <c r="G42" s="208"/>
      <c r="H42" s="208"/>
      <c r="I42" s="208"/>
      <c r="J42" s="208"/>
      <c r="K42" s="208"/>
      <c r="L42" s="208"/>
      <c r="M42" s="208"/>
      <c r="N42" s="208"/>
    </row>
  </sheetData>
  <mergeCells count="44">
    <mergeCell ref="F10:H10"/>
    <mergeCell ref="I10:K10"/>
    <mergeCell ref="A28:N28"/>
    <mergeCell ref="A30:E30"/>
    <mergeCell ref="F30:N30"/>
    <mergeCell ref="L10:L11"/>
    <mergeCell ref="M10:M11"/>
    <mergeCell ref="N10:N11"/>
    <mergeCell ref="A31:E31"/>
    <mergeCell ref="F31:N31"/>
    <mergeCell ref="A32:E32"/>
    <mergeCell ref="F32:N32"/>
    <mergeCell ref="A33:C33"/>
    <mergeCell ref="D33:E33"/>
    <mergeCell ref="G33:N33"/>
    <mergeCell ref="A34:C34"/>
    <mergeCell ref="D34:E34"/>
    <mergeCell ref="G34:N34"/>
    <mergeCell ref="A35:C35"/>
    <mergeCell ref="D35:E35"/>
    <mergeCell ref="G35:N35"/>
    <mergeCell ref="G39:N39"/>
    <mergeCell ref="A36:C36"/>
    <mergeCell ref="D36:E36"/>
    <mergeCell ref="G36:N36"/>
    <mergeCell ref="A37:C37"/>
    <mergeCell ref="D37:E37"/>
    <mergeCell ref="G37:N37"/>
    <mergeCell ref="A1:B3"/>
    <mergeCell ref="M1:N3"/>
    <mergeCell ref="C1:L3"/>
    <mergeCell ref="A41:C41"/>
    <mergeCell ref="D41:E41"/>
    <mergeCell ref="G41:I41"/>
    <mergeCell ref="A10:A11"/>
    <mergeCell ref="B10:B11"/>
    <mergeCell ref="C10:C11"/>
    <mergeCell ref="D10:D11"/>
    <mergeCell ref="E10:E11"/>
    <mergeCell ref="A38:C38"/>
    <mergeCell ref="D38:E38"/>
    <mergeCell ref="G38:N38"/>
    <mergeCell ref="A39:C39"/>
    <mergeCell ref="D39:E39"/>
  </mergeCells>
  <pageMargins left="0.98425196850393704" right="0.59055118110236204" top="0.78740157480314998" bottom="0.78740157480314998" header="0.31496062992126" footer="0.31496062992126"/>
  <pageSetup scale="46"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2060"/>
    <pageSetUpPr fitToPage="1"/>
  </sheetPr>
  <dimension ref="A1:G33"/>
  <sheetViews>
    <sheetView workbookViewId="0">
      <selection activeCell="G1" sqref="G1:G3"/>
    </sheetView>
  </sheetViews>
  <sheetFormatPr defaultColWidth="9" defaultRowHeight="15"/>
  <cols>
    <col min="1" max="1" width="9.85546875" customWidth="1"/>
    <col min="2" max="2" width="16.85546875" customWidth="1"/>
    <col min="3" max="3" width="27" customWidth="1"/>
    <col min="4" max="4" width="34" customWidth="1"/>
    <col min="5" max="5" width="26.7109375" customWidth="1"/>
    <col min="6" max="6" width="30.5703125" customWidth="1"/>
    <col min="7" max="7" width="24.140625" customWidth="1"/>
  </cols>
  <sheetData>
    <row r="1" spans="1:7" ht="19.899999999999999" customHeight="1">
      <c r="A1" s="1018"/>
      <c r="B1" s="1018"/>
      <c r="C1" s="901" t="s">
        <v>739</v>
      </c>
      <c r="D1" s="944"/>
      <c r="E1" s="944"/>
      <c r="F1" s="902"/>
      <c r="G1" s="780" t="s">
        <v>1121</v>
      </c>
    </row>
    <row r="2" spans="1:7" ht="41.45" customHeight="1">
      <c r="A2" s="1018"/>
      <c r="B2" s="1018"/>
      <c r="C2" s="903"/>
      <c r="D2" s="945"/>
      <c r="E2" s="945"/>
      <c r="F2" s="904"/>
      <c r="G2" s="1003"/>
    </row>
    <row r="3" spans="1:7" ht="17.25" customHeight="1">
      <c r="A3" s="1018"/>
      <c r="B3" s="1018"/>
      <c r="C3" s="905"/>
      <c r="D3" s="946"/>
      <c r="E3" s="946"/>
      <c r="F3" s="906"/>
      <c r="G3" s="1003"/>
    </row>
    <row r="4" spans="1:7" ht="19.5">
      <c r="A4" s="26" t="s">
        <v>740</v>
      </c>
      <c r="B4" s="23"/>
      <c r="C4" s="23"/>
      <c r="D4" s="23"/>
      <c r="E4" s="23"/>
      <c r="F4" s="23"/>
      <c r="G4" s="24"/>
    </row>
    <row r="5" spans="1:7" ht="19.5">
      <c r="A5" s="25" t="s">
        <v>698</v>
      </c>
      <c r="B5" s="23"/>
      <c r="C5" s="23"/>
      <c r="D5" s="23"/>
      <c r="E5" s="23"/>
      <c r="F5" s="23"/>
      <c r="G5" s="24"/>
    </row>
    <row r="6" spans="1:7" ht="19.5">
      <c r="A6" s="26" t="s">
        <v>699</v>
      </c>
      <c r="B6" s="23"/>
      <c r="C6" s="23"/>
      <c r="D6" s="23"/>
      <c r="E6" s="23"/>
      <c r="F6" s="23"/>
      <c r="G6" s="24"/>
    </row>
    <row r="7" spans="1:7" ht="16.5">
      <c r="A7" s="27" t="s">
        <v>493</v>
      </c>
      <c r="B7" s="23"/>
      <c r="C7" s="23"/>
      <c r="D7" s="23"/>
      <c r="E7" s="23"/>
      <c r="F7" s="23"/>
      <c r="G7" s="24"/>
    </row>
    <row r="8" spans="1:7" ht="51" customHeight="1">
      <c r="A8" s="28" t="s">
        <v>700</v>
      </c>
      <c r="B8" s="28" t="s">
        <v>494</v>
      </c>
      <c r="C8" s="28" t="s">
        <v>741</v>
      </c>
      <c r="D8" s="28" t="s">
        <v>742</v>
      </c>
      <c r="E8" s="28" t="s">
        <v>743</v>
      </c>
      <c r="F8" s="28" t="s">
        <v>744</v>
      </c>
      <c r="G8" s="28" t="s">
        <v>708</v>
      </c>
    </row>
    <row r="9" spans="1:7" ht="16.5">
      <c r="A9" s="567" t="s">
        <v>510</v>
      </c>
      <c r="B9" s="567" t="s">
        <v>511</v>
      </c>
      <c r="C9" s="567" t="s">
        <v>575</v>
      </c>
      <c r="D9" s="567" t="s">
        <v>513</v>
      </c>
      <c r="E9" s="577" t="s">
        <v>577</v>
      </c>
      <c r="F9" s="577" t="s">
        <v>515</v>
      </c>
      <c r="G9" s="30" t="s">
        <v>745</v>
      </c>
    </row>
    <row r="10" spans="1:7" ht="16.5">
      <c r="A10" s="954">
        <v>1</v>
      </c>
      <c r="B10" s="30">
        <v>1</v>
      </c>
      <c r="C10" s="30">
        <f>2*5+26*3+15*3+5*3</f>
        <v>148</v>
      </c>
      <c r="D10" s="30">
        <v>0</v>
      </c>
      <c r="E10" s="251">
        <f>5%/12</f>
        <v>4.1666666666666666E-3</v>
      </c>
      <c r="F10" s="128">
        <f>+E10*C10</f>
        <v>0.6166666666666667</v>
      </c>
      <c r="G10" s="40">
        <f>+F10/1000</f>
        <v>6.1666666666666673E-4</v>
      </c>
    </row>
    <row r="11" spans="1:7" ht="16.5">
      <c r="A11" s="1002"/>
      <c r="B11" s="30">
        <v>2</v>
      </c>
      <c r="C11" s="30">
        <f t="shared" ref="C11:C21" si="0">2*5+26*3+15*3+5*3</f>
        <v>148</v>
      </c>
      <c r="D11" s="30">
        <v>0</v>
      </c>
      <c r="E11" s="251">
        <f t="shared" ref="E11:E21" si="1">5%/12</f>
        <v>4.1666666666666666E-3</v>
      </c>
      <c r="F11" s="128">
        <f t="shared" ref="F11:F21" si="2">+E11*C11</f>
        <v>0.6166666666666667</v>
      </c>
      <c r="G11" s="40">
        <f t="shared" ref="G11:G21" si="3">+F11/1000</f>
        <v>6.1666666666666673E-4</v>
      </c>
    </row>
    <row r="12" spans="1:7" ht="16.5">
      <c r="A12" s="1002"/>
      <c r="B12" s="30">
        <v>3</v>
      </c>
      <c r="C12" s="30">
        <f t="shared" si="0"/>
        <v>148</v>
      </c>
      <c r="D12" s="30">
        <v>0</v>
      </c>
      <c r="E12" s="251">
        <f t="shared" si="1"/>
        <v>4.1666666666666666E-3</v>
      </c>
      <c r="F12" s="128">
        <f t="shared" si="2"/>
        <v>0.6166666666666667</v>
      </c>
      <c r="G12" s="40">
        <f t="shared" si="3"/>
        <v>6.1666666666666673E-4</v>
      </c>
    </row>
    <row r="13" spans="1:7" ht="16.5">
      <c r="A13" s="1002"/>
      <c r="B13" s="30">
        <v>4</v>
      </c>
      <c r="C13" s="30">
        <f t="shared" si="0"/>
        <v>148</v>
      </c>
      <c r="D13" s="30">
        <v>0</v>
      </c>
      <c r="E13" s="251">
        <f t="shared" si="1"/>
        <v>4.1666666666666666E-3</v>
      </c>
      <c r="F13" s="128">
        <f t="shared" si="2"/>
        <v>0.6166666666666667</v>
      </c>
      <c r="G13" s="40">
        <f t="shared" si="3"/>
        <v>6.1666666666666673E-4</v>
      </c>
    </row>
    <row r="14" spans="1:7" ht="16.5">
      <c r="A14" s="1002"/>
      <c r="B14" s="30">
        <v>5</v>
      </c>
      <c r="C14" s="30">
        <f t="shared" si="0"/>
        <v>148</v>
      </c>
      <c r="D14" s="30">
        <v>0</v>
      </c>
      <c r="E14" s="251">
        <f t="shared" si="1"/>
        <v>4.1666666666666666E-3</v>
      </c>
      <c r="F14" s="128">
        <f t="shared" si="2"/>
        <v>0.6166666666666667</v>
      </c>
      <c r="G14" s="40">
        <f t="shared" si="3"/>
        <v>6.1666666666666673E-4</v>
      </c>
    </row>
    <row r="15" spans="1:7" ht="16.5">
      <c r="A15" s="1002"/>
      <c r="B15" s="30">
        <v>6</v>
      </c>
      <c r="C15" s="30">
        <f t="shared" si="0"/>
        <v>148</v>
      </c>
      <c r="D15" s="30">
        <v>0</v>
      </c>
      <c r="E15" s="251">
        <f t="shared" si="1"/>
        <v>4.1666666666666666E-3</v>
      </c>
      <c r="F15" s="128">
        <f t="shared" si="2"/>
        <v>0.6166666666666667</v>
      </c>
      <c r="G15" s="40">
        <f t="shared" si="3"/>
        <v>6.1666666666666673E-4</v>
      </c>
    </row>
    <row r="16" spans="1:7" ht="16.5">
      <c r="A16" s="1002"/>
      <c r="B16" s="30">
        <v>7</v>
      </c>
      <c r="C16" s="30">
        <f t="shared" si="0"/>
        <v>148</v>
      </c>
      <c r="D16" s="30">
        <v>0</v>
      </c>
      <c r="E16" s="251">
        <f t="shared" si="1"/>
        <v>4.1666666666666666E-3</v>
      </c>
      <c r="F16" s="128">
        <f t="shared" si="2"/>
        <v>0.6166666666666667</v>
      </c>
      <c r="G16" s="40">
        <f t="shared" si="3"/>
        <v>6.1666666666666673E-4</v>
      </c>
    </row>
    <row r="17" spans="1:7" ht="16.5">
      <c r="A17" s="1002"/>
      <c r="B17" s="30">
        <v>8</v>
      </c>
      <c r="C17" s="30">
        <f t="shared" si="0"/>
        <v>148</v>
      </c>
      <c r="D17" s="30">
        <v>0</v>
      </c>
      <c r="E17" s="251">
        <f t="shared" si="1"/>
        <v>4.1666666666666666E-3</v>
      </c>
      <c r="F17" s="128">
        <f t="shared" si="2"/>
        <v>0.6166666666666667</v>
      </c>
      <c r="G17" s="40">
        <f t="shared" si="3"/>
        <v>6.1666666666666673E-4</v>
      </c>
    </row>
    <row r="18" spans="1:7" ht="16.5">
      <c r="A18" s="1002"/>
      <c r="B18" s="30">
        <v>9</v>
      </c>
      <c r="C18" s="30">
        <f t="shared" si="0"/>
        <v>148</v>
      </c>
      <c r="D18" s="30">
        <v>0</v>
      </c>
      <c r="E18" s="251">
        <f t="shared" si="1"/>
        <v>4.1666666666666666E-3</v>
      </c>
      <c r="F18" s="128">
        <f t="shared" si="2"/>
        <v>0.6166666666666667</v>
      </c>
      <c r="G18" s="40">
        <f t="shared" si="3"/>
        <v>6.1666666666666673E-4</v>
      </c>
    </row>
    <row r="19" spans="1:7" ht="16.5">
      <c r="A19" s="1002"/>
      <c r="B19" s="30">
        <v>10</v>
      </c>
      <c r="C19" s="30">
        <f t="shared" si="0"/>
        <v>148</v>
      </c>
      <c r="D19" s="30">
        <v>0</v>
      </c>
      <c r="E19" s="251">
        <f t="shared" si="1"/>
        <v>4.1666666666666666E-3</v>
      </c>
      <c r="F19" s="128">
        <f t="shared" si="2"/>
        <v>0.6166666666666667</v>
      </c>
      <c r="G19" s="40">
        <f t="shared" si="3"/>
        <v>6.1666666666666673E-4</v>
      </c>
    </row>
    <row r="20" spans="1:7" ht="16.5">
      <c r="A20" s="1002"/>
      <c r="B20" s="30">
        <v>11</v>
      </c>
      <c r="C20" s="30">
        <f t="shared" si="0"/>
        <v>148</v>
      </c>
      <c r="D20" s="30">
        <v>0</v>
      </c>
      <c r="E20" s="251">
        <f t="shared" si="1"/>
        <v>4.1666666666666666E-3</v>
      </c>
      <c r="F20" s="128">
        <f t="shared" si="2"/>
        <v>0.6166666666666667</v>
      </c>
      <c r="G20" s="40">
        <f t="shared" si="3"/>
        <v>6.1666666666666673E-4</v>
      </c>
    </row>
    <row r="21" spans="1:7" ht="16.5">
      <c r="A21" s="918"/>
      <c r="B21" s="30">
        <v>12</v>
      </c>
      <c r="C21" s="30">
        <f t="shared" si="0"/>
        <v>148</v>
      </c>
      <c r="D21" s="30">
        <v>0</v>
      </c>
      <c r="E21" s="251">
        <f t="shared" si="1"/>
        <v>4.1666666666666666E-3</v>
      </c>
      <c r="F21" s="128">
        <f t="shared" si="2"/>
        <v>0.6166666666666667</v>
      </c>
      <c r="G21" s="40">
        <f t="shared" si="3"/>
        <v>6.1666666666666673E-4</v>
      </c>
    </row>
    <row r="22" spans="1:7" ht="16.5">
      <c r="A22" s="923" t="s">
        <v>746</v>
      </c>
      <c r="B22" s="925"/>
      <c r="C22" s="178">
        <f>SUM(C10:C21)</f>
        <v>1776</v>
      </c>
      <c r="D22" s="178">
        <f>SUM(D10:D21)</f>
        <v>0</v>
      </c>
      <c r="E22" s="41">
        <v>0.05</v>
      </c>
      <c r="F22" s="128">
        <f>SUM(F10:F21)</f>
        <v>7.4000000000000021</v>
      </c>
      <c r="G22" s="41">
        <f>SUM(G10:G21)</f>
        <v>7.3999999999999995E-3</v>
      </c>
    </row>
    <row r="23" spans="1:7" ht="16.5" hidden="1">
      <c r="A23" s="249"/>
      <c r="B23" s="23"/>
      <c r="C23" s="23"/>
      <c r="D23" s="23"/>
      <c r="E23" s="23"/>
      <c r="F23" s="23"/>
      <c r="G23" s="24"/>
    </row>
    <row r="24" spans="1:7" ht="7.5" customHeight="1">
      <c r="A24" s="249"/>
      <c r="B24" s="23"/>
      <c r="C24" s="23"/>
      <c r="D24" s="23"/>
      <c r="E24" s="23"/>
      <c r="F24" s="23"/>
      <c r="G24" s="24"/>
    </row>
    <row r="25" spans="1:7" ht="28.5" customHeight="1">
      <c r="A25" s="1019" t="s">
        <v>747</v>
      </c>
      <c r="B25" s="1020"/>
      <c r="C25" s="1020"/>
      <c r="D25" s="1020"/>
      <c r="E25" s="1020"/>
      <c r="F25" s="1020"/>
      <c r="G25" s="1021"/>
    </row>
    <row r="26" spans="1:7" ht="6.75" customHeight="1">
      <c r="A26" s="249"/>
      <c r="B26" s="23"/>
      <c r="C26" s="23"/>
      <c r="D26" s="23"/>
      <c r="E26" s="23"/>
      <c r="F26" s="23"/>
      <c r="G26" s="24"/>
    </row>
    <row r="27" spans="1:7" ht="16.5">
      <c r="A27" s="961" t="s">
        <v>524</v>
      </c>
      <c r="B27" s="962"/>
      <c r="C27" s="962"/>
      <c r="D27" s="962"/>
      <c r="E27" s="962"/>
      <c r="F27" s="962"/>
      <c r="G27" s="963"/>
    </row>
    <row r="28" spans="1:7" ht="16.5">
      <c r="A28" s="92"/>
      <c r="B28" s="94"/>
      <c r="C28" s="94"/>
      <c r="D28" s="94"/>
      <c r="E28" s="94"/>
      <c r="F28" s="94"/>
      <c r="G28" s="93"/>
    </row>
    <row r="29" spans="1:7" ht="19.149999999999999" customHeight="1">
      <c r="A29" s="899" t="s">
        <v>525</v>
      </c>
      <c r="B29" s="899"/>
      <c r="C29" s="899"/>
      <c r="D29" s="899" t="s">
        <v>526</v>
      </c>
      <c r="E29" s="899"/>
      <c r="F29" s="899"/>
      <c r="G29" s="899"/>
    </row>
    <row r="30" spans="1:7" ht="16.899999999999999" customHeight="1">
      <c r="A30" s="671" t="s">
        <v>748</v>
      </c>
      <c r="B30" s="671"/>
      <c r="C30" s="671"/>
      <c r="D30" s="895" t="s">
        <v>749</v>
      </c>
      <c r="E30" s="895"/>
      <c r="F30" s="895"/>
      <c r="G30" s="895"/>
    </row>
    <row r="31" spans="1:7" ht="14.45" customHeight="1">
      <c r="A31" s="899" t="s">
        <v>750</v>
      </c>
      <c r="B31" s="899"/>
      <c r="C31" s="899"/>
      <c r="D31" s="899" t="s">
        <v>526</v>
      </c>
      <c r="E31" s="899"/>
      <c r="F31" s="899"/>
      <c r="G31" s="899"/>
    </row>
    <row r="32" spans="1:7" ht="33.75" customHeight="1">
      <c r="A32" s="1015" t="s">
        <v>751</v>
      </c>
      <c r="B32" s="1016"/>
      <c r="C32" s="1016"/>
      <c r="D32" s="1017">
        <v>0.05</v>
      </c>
      <c r="E32" s="1017"/>
      <c r="F32" s="1017"/>
      <c r="G32" s="1017"/>
    </row>
    <row r="33" spans="1:7" ht="33.75" customHeight="1">
      <c r="A33" s="985" t="s">
        <v>752</v>
      </c>
      <c r="B33" s="671"/>
      <c r="C33" s="671"/>
      <c r="D33" s="1014">
        <f>+D32/12</f>
        <v>4.1666666666666666E-3</v>
      </c>
      <c r="E33" s="1014"/>
      <c r="F33" s="1014"/>
      <c r="G33" s="1014"/>
    </row>
  </sheetData>
  <mergeCells count="17">
    <mergeCell ref="G1:G3"/>
    <mergeCell ref="A1:B3"/>
    <mergeCell ref="C1:F3"/>
    <mergeCell ref="A30:C30"/>
    <mergeCell ref="D30:G30"/>
    <mergeCell ref="A22:B22"/>
    <mergeCell ref="A25:G25"/>
    <mergeCell ref="A27:G27"/>
    <mergeCell ref="A29:C29"/>
    <mergeCell ref="D29:G29"/>
    <mergeCell ref="A33:C33"/>
    <mergeCell ref="D33:G33"/>
    <mergeCell ref="A10:A21"/>
    <mergeCell ref="A31:C31"/>
    <mergeCell ref="D31:G31"/>
    <mergeCell ref="A32:C32"/>
    <mergeCell ref="D32:G32"/>
  </mergeCells>
  <dataValidations count="1">
    <dataValidation type="decimal" errorStyle="warning" allowBlank="1" showInputMessage="1" showErrorMessage="1" errorTitle="Input error" error="Value is not a number!" promptTitle="Allowed input" sqref="E10:F21" xr:uid="{00000000-0002-0000-1A00-000000000000}"/>
  </dataValidations>
  <pageMargins left="0.98425196850393704" right="0.59055118110236204" top="0.78740157480314998" bottom="0.78740157480314998" header="0.31496062992126" footer="0.31496062992126"/>
  <pageSetup paperSize="9" scale="76"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A78"/>
  <sheetViews>
    <sheetView topLeftCell="A33" zoomScale="70" zoomScaleNormal="70" workbookViewId="0">
      <selection activeCell="S1" sqref="S1:T3"/>
    </sheetView>
  </sheetViews>
  <sheetFormatPr defaultColWidth="9.28515625" defaultRowHeight="15"/>
  <cols>
    <col min="1" max="1" width="10.28515625" style="238" customWidth="1"/>
    <col min="2" max="2" width="22.7109375" style="239" customWidth="1"/>
    <col min="3" max="3" width="18.28515625" style="239" customWidth="1"/>
    <col min="4" max="4" width="13.85546875" style="239" customWidth="1"/>
    <col min="5" max="5" width="13.5703125" style="240" customWidth="1"/>
    <col min="6" max="6" width="34.28515625" style="240" customWidth="1"/>
    <col min="7" max="7" width="9.140625" style="240" customWidth="1"/>
    <col min="8" max="17" width="6.5703125" style="240" customWidth="1"/>
    <col min="18" max="18" width="9" style="240" customWidth="1"/>
    <col min="19" max="19" width="12.42578125" style="241" customWidth="1"/>
    <col min="20" max="20" width="14.7109375" style="238" customWidth="1"/>
    <col min="22" max="22" width="46.140625" customWidth="1"/>
    <col min="23" max="23" width="43.140625" customWidth="1"/>
    <col min="24" max="24" width="23.28515625" customWidth="1"/>
    <col min="25" max="25" width="39.140625" customWidth="1"/>
    <col min="26" max="26" width="18.28515625" customWidth="1"/>
    <col min="27" max="27" width="19" customWidth="1"/>
    <col min="28" max="28" width="28.7109375" customWidth="1"/>
    <col min="29" max="30" width="8.7109375" customWidth="1"/>
  </cols>
  <sheetData>
    <row r="1" spans="1:27" ht="21" customHeight="1">
      <c r="A1" s="1018"/>
      <c r="B1" s="1018"/>
      <c r="C1" s="901" t="s">
        <v>753</v>
      </c>
      <c r="D1" s="944"/>
      <c r="E1" s="944"/>
      <c r="F1" s="944"/>
      <c r="G1" s="944"/>
      <c r="H1" s="944"/>
      <c r="I1" s="944"/>
      <c r="J1" s="944"/>
      <c r="K1" s="944"/>
      <c r="L1" s="944"/>
      <c r="M1" s="944"/>
      <c r="N1" s="944"/>
      <c r="O1" s="944"/>
      <c r="P1" s="944"/>
      <c r="Q1" s="944"/>
      <c r="R1" s="902"/>
      <c r="S1" s="901" t="s">
        <v>1123</v>
      </c>
      <c r="T1" s="902"/>
    </row>
    <row r="2" spans="1:27" ht="30" customHeight="1">
      <c r="A2" s="1018"/>
      <c r="B2" s="1018"/>
      <c r="C2" s="903"/>
      <c r="D2" s="945"/>
      <c r="E2" s="945"/>
      <c r="F2" s="945"/>
      <c r="G2" s="945"/>
      <c r="H2" s="945"/>
      <c r="I2" s="945"/>
      <c r="J2" s="945"/>
      <c r="K2" s="945"/>
      <c r="L2" s="945"/>
      <c r="M2" s="945"/>
      <c r="N2" s="945"/>
      <c r="O2" s="945"/>
      <c r="P2" s="945"/>
      <c r="Q2" s="945"/>
      <c r="R2" s="904"/>
      <c r="S2" s="903"/>
      <c r="T2" s="904"/>
    </row>
    <row r="3" spans="1:27" ht="21" customHeight="1">
      <c r="A3" s="1018"/>
      <c r="B3" s="1018"/>
      <c r="C3" s="905"/>
      <c r="D3" s="946"/>
      <c r="E3" s="946"/>
      <c r="F3" s="946"/>
      <c r="G3" s="946"/>
      <c r="H3" s="946"/>
      <c r="I3" s="946"/>
      <c r="J3" s="946"/>
      <c r="K3" s="946"/>
      <c r="L3" s="946"/>
      <c r="M3" s="946"/>
      <c r="N3" s="946"/>
      <c r="O3" s="946"/>
      <c r="P3" s="946"/>
      <c r="Q3" s="946"/>
      <c r="R3" s="906"/>
      <c r="S3" s="905"/>
      <c r="T3" s="906"/>
    </row>
    <row r="4" spans="1:27" ht="12" customHeight="1">
      <c r="A4" s="242"/>
      <c r="B4" s="243"/>
      <c r="C4" s="243"/>
      <c r="D4" s="244"/>
      <c r="E4" s="244"/>
      <c r="F4" s="244"/>
      <c r="G4" s="244"/>
      <c r="H4" s="244"/>
      <c r="I4" s="244"/>
      <c r="J4" s="244"/>
      <c r="K4" s="244"/>
      <c r="L4" s="244"/>
      <c r="M4" s="244"/>
      <c r="N4" s="244"/>
      <c r="O4" s="244"/>
      <c r="P4" s="244"/>
      <c r="Q4" s="244"/>
      <c r="R4" s="244"/>
      <c r="S4" s="244"/>
      <c r="T4" s="250"/>
    </row>
    <row r="5" spans="1:27" ht="21.6" customHeight="1">
      <c r="A5" s="117" t="s">
        <v>754</v>
      </c>
      <c r="B5" s="206"/>
      <c r="C5" s="206"/>
      <c r="D5" s="206"/>
      <c r="E5" s="206"/>
      <c r="F5" s="245"/>
      <c r="G5" s="245"/>
      <c r="H5" s="245"/>
      <c r="I5" s="245"/>
      <c r="J5" s="245"/>
      <c r="K5" s="245"/>
      <c r="L5" s="245"/>
      <c r="M5" s="245"/>
      <c r="N5" s="245"/>
      <c r="O5" s="245"/>
      <c r="P5" s="245"/>
      <c r="Q5" s="245"/>
      <c r="R5" s="245"/>
      <c r="S5" s="23"/>
      <c r="T5" s="24"/>
    </row>
    <row r="6" spans="1:27" ht="21.6" customHeight="1">
      <c r="A6" s="91" t="s">
        <v>755</v>
      </c>
      <c r="B6" s="206"/>
      <c r="C6" s="206"/>
      <c r="D6" s="206"/>
      <c r="E6" s="206"/>
      <c r="F6" s="245"/>
      <c r="G6" s="245"/>
      <c r="H6" s="245"/>
      <c r="I6" s="245"/>
      <c r="J6" s="245"/>
      <c r="K6" s="245"/>
      <c r="L6" s="245"/>
      <c r="M6" s="245"/>
      <c r="N6" s="245"/>
      <c r="O6" s="245"/>
      <c r="P6" s="245"/>
      <c r="Q6" s="245"/>
      <c r="R6" s="245"/>
      <c r="S6" s="23"/>
      <c r="T6" s="24"/>
    </row>
    <row r="7" spans="1:27" ht="21.6" customHeight="1">
      <c r="A7" s="91" t="s">
        <v>756</v>
      </c>
      <c r="B7" s="206"/>
      <c r="C7" s="206"/>
      <c r="D7" s="206"/>
      <c r="E7" s="206"/>
      <c r="F7" s="245"/>
      <c r="G7" s="245"/>
      <c r="H7" s="245"/>
      <c r="I7" s="245"/>
      <c r="J7" s="245"/>
      <c r="K7" s="245"/>
      <c r="L7" s="245"/>
      <c r="M7" s="245"/>
      <c r="N7" s="245"/>
      <c r="O7" s="245"/>
      <c r="P7" s="245"/>
      <c r="Q7" s="245"/>
      <c r="R7" s="245"/>
      <c r="S7" s="23"/>
      <c r="T7" s="24"/>
    </row>
    <row r="8" spans="1:27" ht="21.6" customHeight="1">
      <c r="A8" s="91" t="s">
        <v>757</v>
      </c>
      <c r="B8" s="206"/>
      <c r="C8" s="206"/>
      <c r="D8" s="206"/>
      <c r="E8" s="206"/>
      <c r="F8" s="245"/>
      <c r="G8" s="245"/>
      <c r="H8" s="245"/>
      <c r="I8" s="245"/>
      <c r="J8" s="245"/>
      <c r="K8" s="245"/>
      <c r="L8" s="245"/>
      <c r="M8" s="245"/>
      <c r="N8" s="245"/>
      <c r="O8" s="245"/>
      <c r="P8" s="245"/>
      <c r="Q8" s="245"/>
      <c r="R8" s="245"/>
      <c r="S8" s="23"/>
      <c r="T8" s="24"/>
    </row>
    <row r="9" spans="1:27" ht="21.6" customHeight="1">
      <c r="A9" s="27" t="s">
        <v>493</v>
      </c>
      <c r="B9" s="206"/>
      <c r="C9" s="206"/>
      <c r="D9" s="206"/>
      <c r="E9" s="206"/>
      <c r="F9" s="245"/>
      <c r="G9" s="245"/>
      <c r="H9" s="245"/>
      <c r="I9" s="245"/>
      <c r="J9" s="245"/>
      <c r="K9" s="245"/>
      <c r="L9" s="245"/>
      <c r="M9" s="245"/>
      <c r="N9" s="245"/>
      <c r="O9" s="245"/>
      <c r="P9" s="245"/>
      <c r="Q9" s="245"/>
      <c r="R9" s="245"/>
      <c r="S9" s="23"/>
      <c r="T9" s="24"/>
    </row>
    <row r="10" spans="1:27" ht="10.15" customHeight="1">
      <c r="A10" s="246"/>
      <c r="B10" s="123"/>
      <c r="C10" s="123"/>
      <c r="D10" s="123"/>
      <c r="E10" s="123"/>
      <c r="F10" s="247"/>
      <c r="G10" s="247"/>
      <c r="H10" s="247"/>
      <c r="I10" s="247"/>
      <c r="J10" s="247"/>
      <c r="K10" s="247"/>
      <c r="L10" s="247"/>
      <c r="M10" s="247"/>
      <c r="N10" s="247"/>
      <c r="O10" s="247"/>
      <c r="P10" s="247"/>
      <c r="Q10" s="247"/>
      <c r="R10" s="247"/>
      <c r="S10" s="94"/>
      <c r="T10" s="93"/>
    </row>
    <row r="11" spans="1:27" ht="26.45" customHeight="1">
      <c r="A11" s="863" t="s">
        <v>2</v>
      </c>
      <c r="B11" s="863" t="s">
        <v>758</v>
      </c>
      <c r="C11" s="863" t="s">
        <v>759</v>
      </c>
      <c r="D11" s="863" t="s">
        <v>760</v>
      </c>
      <c r="E11" s="863"/>
      <c r="F11" s="863" t="s">
        <v>761</v>
      </c>
      <c r="G11" s="863"/>
      <c r="H11" s="863"/>
      <c r="I11" s="863"/>
      <c r="J11" s="863"/>
      <c r="K11" s="863"/>
      <c r="L11" s="863"/>
      <c r="M11" s="863"/>
      <c r="N11" s="863"/>
      <c r="O11" s="863"/>
      <c r="P11" s="863"/>
      <c r="Q11" s="863"/>
      <c r="R11" s="863" t="s">
        <v>750</v>
      </c>
      <c r="S11" s="863" t="s">
        <v>762</v>
      </c>
      <c r="T11" s="863" t="s">
        <v>763</v>
      </c>
      <c r="V11" s="1029" t="s">
        <v>764</v>
      </c>
      <c r="W11" s="1030"/>
      <c r="X11" s="1030"/>
      <c r="Y11" s="1030"/>
      <c r="Z11" s="1030"/>
      <c r="AA11" s="1031"/>
    </row>
    <row r="12" spans="1:27" s="237" customFormat="1" ht="38.450000000000003" customHeight="1">
      <c r="A12" s="863"/>
      <c r="B12" s="863"/>
      <c r="C12" s="863"/>
      <c r="D12" s="863"/>
      <c r="E12" s="863"/>
      <c r="F12" s="28">
        <v>1</v>
      </c>
      <c r="G12" s="28">
        <v>2</v>
      </c>
      <c r="H12" s="28">
        <v>3</v>
      </c>
      <c r="I12" s="28">
        <v>4</v>
      </c>
      <c r="J12" s="28">
        <v>5</v>
      </c>
      <c r="K12" s="28">
        <v>6</v>
      </c>
      <c r="L12" s="28">
        <v>7</v>
      </c>
      <c r="M12" s="28">
        <v>8</v>
      </c>
      <c r="N12" s="28">
        <v>9</v>
      </c>
      <c r="O12" s="28">
        <v>10</v>
      </c>
      <c r="P12" s="28">
        <v>11</v>
      </c>
      <c r="Q12" s="28">
        <v>12</v>
      </c>
      <c r="R12" s="863"/>
      <c r="S12" s="863"/>
      <c r="T12" s="863"/>
      <c r="V12" s="1033" t="s">
        <v>765</v>
      </c>
      <c r="W12" s="1033" t="s">
        <v>766</v>
      </c>
      <c r="X12" s="1033" t="s">
        <v>767</v>
      </c>
      <c r="Y12" s="1032" t="s">
        <v>768</v>
      </c>
      <c r="Z12" s="1032"/>
      <c r="AA12" s="1032"/>
    </row>
    <row r="13" spans="1:27" s="237" customFormat="1" ht="37.9" customHeight="1">
      <c r="A13" s="671">
        <v>1</v>
      </c>
      <c r="B13" s="671" t="s">
        <v>769</v>
      </c>
      <c r="C13" s="671" t="s">
        <v>770</v>
      </c>
      <c r="D13" s="671" t="s">
        <v>771</v>
      </c>
      <c r="E13" s="30" t="s">
        <v>772</v>
      </c>
      <c r="F13" s="671">
        <f>29590/1000</f>
        <v>29.59</v>
      </c>
      <c r="G13" s="671"/>
      <c r="H13" s="671"/>
      <c r="I13" s="671"/>
      <c r="J13" s="671"/>
      <c r="K13" s="671"/>
      <c r="L13" s="671"/>
      <c r="M13" s="671"/>
      <c r="N13" s="671"/>
      <c r="O13" s="671"/>
      <c r="P13" s="671"/>
      <c r="Q13" s="671"/>
      <c r="R13" s="251">
        <v>0</v>
      </c>
      <c r="S13" s="1025">
        <f>+((F13*R13+F14*R14)/1)*F15*R15</f>
        <v>0</v>
      </c>
      <c r="T13" s="1022">
        <f>+S13/1000</f>
        <v>0</v>
      </c>
      <c r="V13" s="1034"/>
      <c r="W13" s="1034"/>
      <c r="X13" s="1034"/>
      <c r="Y13" s="264"/>
      <c r="Z13" s="264"/>
      <c r="AA13" s="264"/>
    </row>
    <row r="14" spans="1:27" s="237" customFormat="1" ht="24" customHeight="1">
      <c r="A14" s="671"/>
      <c r="B14" s="671"/>
      <c r="C14" s="671"/>
      <c r="D14" s="671"/>
      <c r="E14" s="30" t="s">
        <v>773</v>
      </c>
      <c r="F14" s="671">
        <f>0/1000</f>
        <v>0</v>
      </c>
      <c r="G14" s="671"/>
      <c r="H14" s="671"/>
      <c r="I14" s="671"/>
      <c r="J14" s="671"/>
      <c r="K14" s="671"/>
      <c r="L14" s="671"/>
      <c r="M14" s="671"/>
      <c r="N14" s="671"/>
      <c r="O14" s="671"/>
      <c r="P14" s="671"/>
      <c r="Q14" s="671"/>
      <c r="R14" s="30">
        <v>1</v>
      </c>
      <c r="S14" s="1025"/>
      <c r="T14" s="1022"/>
      <c r="V14" s="1035"/>
      <c r="W14" s="1035"/>
      <c r="X14" s="1035"/>
      <c r="Y14" s="264" t="s">
        <v>774</v>
      </c>
      <c r="Z14" s="264" t="s">
        <v>775</v>
      </c>
      <c r="AA14" s="264" t="s">
        <v>776</v>
      </c>
    </row>
    <row r="15" spans="1:27" s="237" customFormat="1" ht="35.450000000000003" customHeight="1">
      <c r="A15" s="671"/>
      <c r="B15" s="671"/>
      <c r="C15" s="671"/>
      <c r="D15" s="30" t="s">
        <v>777</v>
      </c>
      <c r="E15" s="30" t="s">
        <v>769</v>
      </c>
      <c r="F15" s="671">
        <v>1960</v>
      </c>
      <c r="G15" s="671"/>
      <c r="H15" s="671"/>
      <c r="I15" s="671"/>
      <c r="J15" s="671"/>
      <c r="K15" s="671"/>
      <c r="L15" s="671"/>
      <c r="M15" s="671"/>
      <c r="N15" s="671"/>
      <c r="O15" s="671"/>
      <c r="P15" s="671"/>
      <c r="Q15" s="671"/>
      <c r="R15" s="30">
        <v>1</v>
      </c>
      <c r="S15" s="1025"/>
      <c r="T15" s="1022"/>
      <c r="V15" s="252" t="s">
        <v>778</v>
      </c>
      <c r="W15" s="253" t="s">
        <v>779</v>
      </c>
      <c r="X15" s="578" t="s">
        <v>780</v>
      </c>
      <c r="Y15" s="579" t="s">
        <v>781</v>
      </c>
      <c r="Z15" s="265" t="s">
        <v>782</v>
      </c>
      <c r="AA15" s="265" t="s">
        <v>783</v>
      </c>
    </row>
    <row r="16" spans="1:27" s="237" customFormat="1" ht="42" customHeight="1">
      <c r="A16" s="671">
        <v>2</v>
      </c>
      <c r="B16" s="671" t="s">
        <v>784</v>
      </c>
      <c r="C16" s="671" t="s">
        <v>770</v>
      </c>
      <c r="D16" s="671" t="s">
        <v>771</v>
      </c>
      <c r="E16" s="30" t="s">
        <v>785</v>
      </c>
      <c r="F16" s="671">
        <f>0/1000</f>
        <v>0</v>
      </c>
      <c r="G16" s="671"/>
      <c r="H16" s="671"/>
      <c r="I16" s="671"/>
      <c r="J16" s="671"/>
      <c r="K16" s="671"/>
      <c r="L16" s="671"/>
      <c r="M16" s="671"/>
      <c r="N16" s="671"/>
      <c r="O16" s="671"/>
      <c r="P16" s="671"/>
      <c r="Q16" s="671"/>
      <c r="R16" s="251">
        <v>0</v>
      </c>
      <c r="S16" s="1025">
        <f>+((F16*R16+F17*R17)/1)*F18*R18</f>
        <v>0</v>
      </c>
      <c r="T16" s="1022">
        <f>+S16/1000</f>
        <v>0</v>
      </c>
      <c r="V16" s="254" t="s">
        <v>786</v>
      </c>
      <c r="W16" s="255" t="s">
        <v>787</v>
      </c>
      <c r="X16" s="580" t="s">
        <v>788</v>
      </c>
      <c r="Y16" s="256" t="s">
        <v>789</v>
      </c>
      <c r="Z16" s="581" t="s">
        <v>790</v>
      </c>
      <c r="AA16" s="256" t="s">
        <v>791</v>
      </c>
    </row>
    <row r="17" spans="1:27" s="237" customFormat="1" ht="24" customHeight="1">
      <c r="A17" s="671"/>
      <c r="B17" s="671"/>
      <c r="C17" s="671"/>
      <c r="D17" s="671"/>
      <c r="E17" s="30" t="s">
        <v>773</v>
      </c>
      <c r="F17" s="671">
        <f>0/1000</f>
        <v>0</v>
      </c>
      <c r="G17" s="671"/>
      <c r="H17" s="671"/>
      <c r="I17" s="671"/>
      <c r="J17" s="671"/>
      <c r="K17" s="671"/>
      <c r="L17" s="671"/>
      <c r="M17" s="671"/>
      <c r="N17" s="671"/>
      <c r="O17" s="671"/>
      <c r="P17" s="671"/>
      <c r="Q17" s="671"/>
      <c r="R17" s="30">
        <v>1</v>
      </c>
      <c r="S17" s="1025"/>
      <c r="T17" s="1022"/>
      <c r="V17" s="257" t="s">
        <v>792</v>
      </c>
      <c r="W17" s="258" t="s">
        <v>793</v>
      </c>
      <c r="X17" s="582" t="s">
        <v>794</v>
      </c>
      <c r="Y17" s="256" t="s">
        <v>789</v>
      </c>
      <c r="Z17" s="581" t="s">
        <v>795</v>
      </c>
      <c r="AA17" s="256" t="s">
        <v>796</v>
      </c>
    </row>
    <row r="18" spans="1:27" s="237" customFormat="1" ht="31.15" customHeight="1">
      <c r="A18" s="671"/>
      <c r="B18" s="671"/>
      <c r="C18" s="671"/>
      <c r="D18" s="30" t="s">
        <v>797</v>
      </c>
      <c r="E18" s="30" t="s">
        <v>784</v>
      </c>
      <c r="F18" s="671">
        <v>771</v>
      </c>
      <c r="G18" s="671"/>
      <c r="H18" s="671"/>
      <c r="I18" s="671"/>
      <c r="J18" s="671"/>
      <c r="K18" s="671"/>
      <c r="L18" s="671"/>
      <c r="M18" s="671"/>
      <c r="N18" s="671"/>
      <c r="O18" s="671"/>
      <c r="P18" s="671"/>
      <c r="Q18" s="671"/>
      <c r="R18" s="30">
        <v>1</v>
      </c>
      <c r="S18" s="1025"/>
      <c r="T18" s="1022"/>
      <c r="V18" s="254" t="s">
        <v>798</v>
      </c>
      <c r="W18" s="259" t="s">
        <v>799</v>
      </c>
      <c r="X18" s="580" t="s">
        <v>800</v>
      </c>
      <c r="Y18" s="256" t="s">
        <v>781</v>
      </c>
      <c r="Z18" s="580" t="s">
        <v>801</v>
      </c>
      <c r="AA18" s="256" t="s">
        <v>802</v>
      </c>
    </row>
    <row r="19" spans="1:27" s="237" customFormat="1" ht="37.9" customHeight="1">
      <c r="A19" s="671">
        <v>3</v>
      </c>
      <c r="B19" s="671" t="s">
        <v>803</v>
      </c>
      <c r="C19" s="671" t="s">
        <v>770</v>
      </c>
      <c r="D19" s="671" t="s">
        <v>771</v>
      </c>
      <c r="E19" s="30" t="s">
        <v>772</v>
      </c>
      <c r="F19" s="671">
        <f>9080/1000</f>
        <v>9.08</v>
      </c>
      <c r="G19" s="671"/>
      <c r="H19" s="671"/>
      <c r="I19" s="671"/>
      <c r="J19" s="671"/>
      <c r="K19" s="671"/>
      <c r="L19" s="671"/>
      <c r="M19" s="671"/>
      <c r="N19" s="671"/>
      <c r="O19" s="671"/>
      <c r="P19" s="671"/>
      <c r="Q19" s="671"/>
      <c r="R19" s="251">
        <v>0</v>
      </c>
      <c r="S19" s="1025">
        <f>+((F19*R19+F20*R20)/1)*F21*R21</f>
        <v>1989</v>
      </c>
      <c r="T19" s="1022">
        <f>+S19/1000</f>
        <v>1.9890000000000001</v>
      </c>
      <c r="V19" s="257" t="s">
        <v>804</v>
      </c>
      <c r="W19" s="258" t="s">
        <v>805</v>
      </c>
      <c r="X19" s="582" t="s">
        <v>806</v>
      </c>
      <c r="Y19" s="256" t="s">
        <v>789</v>
      </c>
      <c r="Z19" s="583" t="s">
        <v>807</v>
      </c>
      <c r="AA19" s="256" t="s">
        <v>796</v>
      </c>
    </row>
    <row r="20" spans="1:27" s="237" customFormat="1" ht="24" customHeight="1">
      <c r="A20" s="671"/>
      <c r="B20" s="671"/>
      <c r="C20" s="671"/>
      <c r="D20" s="671"/>
      <c r="E20" s="30" t="s">
        <v>773</v>
      </c>
      <c r="F20" s="671">
        <f>1300/1000</f>
        <v>1.3</v>
      </c>
      <c r="G20" s="671"/>
      <c r="H20" s="671"/>
      <c r="I20" s="671"/>
      <c r="J20" s="671"/>
      <c r="K20" s="671"/>
      <c r="L20" s="671"/>
      <c r="M20" s="671"/>
      <c r="N20" s="671"/>
      <c r="O20" s="671"/>
      <c r="P20" s="671"/>
      <c r="Q20" s="671"/>
      <c r="R20" s="30">
        <v>1</v>
      </c>
      <c r="S20" s="1025"/>
      <c r="T20" s="1022"/>
      <c r="V20" s="252" t="s">
        <v>808</v>
      </c>
      <c r="W20" s="260" t="s">
        <v>809</v>
      </c>
      <c r="X20" s="584" t="s">
        <v>810</v>
      </c>
      <c r="Y20" s="265" t="s">
        <v>781</v>
      </c>
      <c r="Z20" s="579" t="s">
        <v>811</v>
      </c>
      <c r="AA20" s="265" t="s">
        <v>812</v>
      </c>
    </row>
    <row r="21" spans="1:27" s="237" customFormat="1" ht="36.6" customHeight="1">
      <c r="A21" s="671"/>
      <c r="B21" s="671"/>
      <c r="C21" s="671"/>
      <c r="D21" s="30" t="s">
        <v>813</v>
      </c>
      <c r="E21" s="30" t="s">
        <v>814</v>
      </c>
      <c r="F21" s="671">
        <v>1530</v>
      </c>
      <c r="G21" s="671"/>
      <c r="H21" s="671"/>
      <c r="I21" s="671"/>
      <c r="J21" s="671"/>
      <c r="K21" s="671"/>
      <c r="L21" s="671"/>
      <c r="M21" s="671"/>
      <c r="N21" s="671"/>
      <c r="O21" s="671"/>
      <c r="P21" s="671"/>
      <c r="Q21" s="671"/>
      <c r="R21" s="30">
        <v>1</v>
      </c>
      <c r="S21" s="1025"/>
      <c r="T21" s="1022"/>
      <c r="V21" s="257" t="s">
        <v>815</v>
      </c>
      <c r="W21" s="258" t="s">
        <v>816</v>
      </c>
      <c r="X21" s="582" t="s">
        <v>817</v>
      </c>
      <c r="Y21" s="256" t="s">
        <v>781</v>
      </c>
      <c r="Z21" s="580" t="s">
        <v>818</v>
      </c>
      <c r="AA21" s="256" t="s">
        <v>802</v>
      </c>
    </row>
    <row r="22" spans="1:27" s="237" customFormat="1" ht="32.450000000000003" customHeight="1">
      <c r="A22" s="671">
        <v>4</v>
      </c>
      <c r="B22" s="671" t="s">
        <v>819</v>
      </c>
      <c r="C22" s="671" t="s">
        <v>770</v>
      </c>
      <c r="D22" s="671" t="s">
        <v>771</v>
      </c>
      <c r="E22" s="30" t="s">
        <v>772</v>
      </c>
      <c r="F22" s="671">
        <f>16940/1000</f>
        <v>16.940000000000001</v>
      </c>
      <c r="G22" s="671"/>
      <c r="H22" s="671"/>
      <c r="I22" s="671"/>
      <c r="J22" s="671"/>
      <c r="K22" s="671"/>
      <c r="L22" s="671"/>
      <c r="M22" s="671"/>
      <c r="N22" s="671"/>
      <c r="O22" s="671"/>
      <c r="P22" s="671"/>
      <c r="Q22" s="671"/>
      <c r="R22" s="251">
        <v>0</v>
      </c>
      <c r="S22" s="1025">
        <f>+((F22*R22+F23*R23)/1)*(F24*R24*F27*R27+F25*R25*F28*R28+F26*R26*F29*R29)</f>
        <v>0</v>
      </c>
      <c r="T22" s="1022">
        <f>+S22/1000</f>
        <v>0</v>
      </c>
    </row>
    <row r="23" spans="1:27" s="237" customFormat="1" ht="24" customHeight="1">
      <c r="A23" s="671"/>
      <c r="B23" s="671"/>
      <c r="C23" s="671"/>
      <c r="D23" s="671"/>
      <c r="E23" s="30" t="s">
        <v>773</v>
      </c>
      <c r="F23" s="671">
        <f>0/1000</f>
        <v>0</v>
      </c>
      <c r="G23" s="671"/>
      <c r="H23" s="671"/>
      <c r="I23" s="671"/>
      <c r="J23" s="671"/>
      <c r="K23" s="671"/>
      <c r="L23" s="671"/>
      <c r="M23" s="671"/>
      <c r="N23" s="671"/>
      <c r="O23" s="671"/>
      <c r="P23" s="671"/>
      <c r="Q23" s="671"/>
      <c r="R23" s="30">
        <v>1</v>
      </c>
      <c r="S23" s="1025"/>
      <c r="T23" s="1022"/>
    </row>
    <row r="24" spans="1:27" s="237" customFormat="1" ht="39" customHeight="1">
      <c r="A24" s="671"/>
      <c r="B24" s="671"/>
      <c r="C24" s="671"/>
      <c r="D24" s="671" t="s">
        <v>820</v>
      </c>
      <c r="E24" s="30" t="s">
        <v>821</v>
      </c>
      <c r="F24" s="1023">
        <f>23/100</f>
        <v>0.23</v>
      </c>
      <c r="G24" s="1023"/>
      <c r="H24" s="1023"/>
      <c r="I24" s="1023"/>
      <c r="J24" s="1023"/>
      <c r="K24" s="1023"/>
      <c r="L24" s="1023"/>
      <c r="M24" s="1023"/>
      <c r="N24" s="1023"/>
      <c r="O24" s="1023"/>
      <c r="P24" s="1023"/>
      <c r="Q24" s="1023"/>
      <c r="R24" s="30">
        <v>1</v>
      </c>
      <c r="S24" s="1025"/>
      <c r="T24" s="1022"/>
    </row>
    <row r="25" spans="1:27" s="237" customFormat="1" ht="48.6" customHeight="1">
      <c r="A25" s="671"/>
      <c r="B25" s="671"/>
      <c r="C25" s="671"/>
      <c r="D25" s="671"/>
      <c r="E25" s="30" t="s">
        <v>822</v>
      </c>
      <c r="F25" s="1023">
        <f>25/100</f>
        <v>0.25</v>
      </c>
      <c r="G25" s="1023"/>
      <c r="H25" s="1023"/>
      <c r="I25" s="1023"/>
      <c r="J25" s="1023"/>
      <c r="K25" s="1023"/>
      <c r="L25" s="1023"/>
      <c r="M25" s="1023"/>
      <c r="N25" s="1023"/>
      <c r="O25" s="1023"/>
      <c r="P25" s="1023"/>
      <c r="Q25" s="1023"/>
      <c r="R25" s="30">
        <v>1</v>
      </c>
      <c r="S25" s="1025"/>
      <c r="T25" s="1022"/>
    </row>
    <row r="26" spans="1:27" s="237" customFormat="1" ht="39.6" customHeight="1">
      <c r="A26" s="671"/>
      <c r="B26" s="671"/>
      <c r="C26" s="671"/>
      <c r="D26" s="671"/>
      <c r="E26" s="30" t="s">
        <v>823</v>
      </c>
      <c r="F26" s="1023">
        <f>52/100</f>
        <v>0.52</v>
      </c>
      <c r="G26" s="1023"/>
      <c r="H26" s="1023"/>
      <c r="I26" s="1023"/>
      <c r="J26" s="1023"/>
      <c r="K26" s="1023"/>
      <c r="L26" s="1023"/>
      <c r="M26" s="1023"/>
      <c r="N26" s="1023"/>
      <c r="O26" s="1023"/>
      <c r="P26" s="1023"/>
      <c r="Q26" s="1023"/>
      <c r="R26" s="30">
        <v>1</v>
      </c>
      <c r="S26" s="1025"/>
      <c r="T26" s="1022"/>
    </row>
    <row r="27" spans="1:27" s="237" customFormat="1" ht="32.25" customHeight="1">
      <c r="A27" s="671"/>
      <c r="B27" s="671"/>
      <c r="C27" s="671"/>
      <c r="D27" s="671" t="s">
        <v>824</v>
      </c>
      <c r="E27" s="30" t="s">
        <v>784</v>
      </c>
      <c r="F27" s="671">
        <v>771</v>
      </c>
      <c r="G27" s="671"/>
      <c r="H27" s="671"/>
      <c r="I27" s="671"/>
      <c r="J27" s="671"/>
      <c r="K27" s="671"/>
      <c r="L27" s="671"/>
      <c r="M27" s="671"/>
      <c r="N27" s="671"/>
      <c r="O27" s="671"/>
      <c r="P27" s="671"/>
      <c r="Q27" s="671"/>
      <c r="R27" s="30">
        <v>1</v>
      </c>
      <c r="S27" s="1025"/>
      <c r="T27" s="1022"/>
    </row>
    <row r="28" spans="1:27" s="237" customFormat="1" ht="32.25" customHeight="1">
      <c r="A28" s="671"/>
      <c r="B28" s="671"/>
      <c r="C28" s="671"/>
      <c r="D28" s="671"/>
      <c r="E28" s="30" t="s">
        <v>825</v>
      </c>
      <c r="F28" s="671">
        <v>3740</v>
      </c>
      <c r="G28" s="671"/>
      <c r="H28" s="671"/>
      <c r="I28" s="671"/>
      <c r="J28" s="671"/>
      <c r="K28" s="671"/>
      <c r="L28" s="671"/>
      <c r="M28" s="671"/>
      <c r="N28" s="671"/>
      <c r="O28" s="671"/>
      <c r="P28" s="671"/>
      <c r="Q28" s="671"/>
      <c r="R28" s="30">
        <v>1</v>
      </c>
      <c r="S28" s="1025"/>
      <c r="T28" s="1022"/>
    </row>
    <row r="29" spans="1:27" s="237" customFormat="1" ht="32.25" customHeight="1">
      <c r="A29" s="671"/>
      <c r="B29" s="671"/>
      <c r="C29" s="671"/>
      <c r="D29" s="671"/>
      <c r="E29" s="30" t="s">
        <v>813</v>
      </c>
      <c r="F29" s="671">
        <v>1530</v>
      </c>
      <c r="G29" s="671"/>
      <c r="H29" s="671"/>
      <c r="I29" s="671"/>
      <c r="J29" s="671"/>
      <c r="K29" s="671"/>
      <c r="L29" s="671"/>
      <c r="M29" s="671"/>
      <c r="N29" s="671"/>
      <c r="O29" s="671"/>
      <c r="P29" s="671"/>
      <c r="Q29" s="671"/>
      <c r="R29" s="30">
        <v>1</v>
      </c>
      <c r="S29" s="1025"/>
      <c r="T29" s="1022"/>
    </row>
    <row r="30" spans="1:27" s="237" customFormat="1" ht="40.9" customHeight="1">
      <c r="A30" s="671">
        <v>5</v>
      </c>
      <c r="B30" s="671" t="s">
        <v>826</v>
      </c>
      <c r="C30" s="671" t="s">
        <v>770</v>
      </c>
      <c r="D30" s="671" t="s">
        <v>771</v>
      </c>
      <c r="E30" s="30" t="s">
        <v>785</v>
      </c>
      <c r="F30" s="671">
        <f>20020/1000</f>
        <v>20.02</v>
      </c>
      <c r="G30" s="671"/>
      <c r="H30" s="671"/>
      <c r="I30" s="671"/>
      <c r="J30" s="671"/>
      <c r="K30" s="671"/>
      <c r="L30" s="671"/>
      <c r="M30" s="671"/>
      <c r="N30" s="671"/>
      <c r="O30" s="671"/>
      <c r="P30" s="671"/>
      <c r="Q30" s="671"/>
      <c r="R30" s="251">
        <v>0</v>
      </c>
      <c r="S30" s="1025">
        <f>+((F30*R30+F31*R31)/1)*(F32*R32*F34*R34+F33*R33*F35*R35)</f>
        <v>0</v>
      </c>
      <c r="T30" s="1022">
        <f>+S30/1000</f>
        <v>0</v>
      </c>
    </row>
    <row r="31" spans="1:27" s="237" customFormat="1" ht="40.9" customHeight="1">
      <c r="A31" s="671"/>
      <c r="B31" s="671"/>
      <c r="C31" s="671"/>
      <c r="D31" s="671"/>
      <c r="E31" s="30" t="s">
        <v>773</v>
      </c>
      <c r="F31" s="671">
        <f>0/1000</f>
        <v>0</v>
      </c>
      <c r="G31" s="671"/>
      <c r="H31" s="671"/>
      <c r="I31" s="671"/>
      <c r="J31" s="671"/>
      <c r="K31" s="671"/>
      <c r="L31" s="671"/>
      <c r="M31" s="671"/>
      <c r="N31" s="671"/>
      <c r="O31" s="671"/>
      <c r="P31" s="671"/>
      <c r="Q31" s="671"/>
      <c r="R31" s="30">
        <v>1</v>
      </c>
      <c r="S31" s="1025"/>
      <c r="T31" s="1022"/>
    </row>
    <row r="32" spans="1:27" s="237" customFormat="1" ht="40.9" customHeight="1">
      <c r="A32" s="671"/>
      <c r="B32" s="671"/>
      <c r="C32" s="671"/>
      <c r="D32" s="671" t="s">
        <v>827</v>
      </c>
      <c r="E32" s="30" t="s">
        <v>828</v>
      </c>
      <c r="F32" s="1028">
        <v>0.5</v>
      </c>
      <c r="G32" s="1028"/>
      <c r="H32" s="1028"/>
      <c r="I32" s="1028"/>
      <c r="J32" s="1028"/>
      <c r="K32" s="1028"/>
      <c r="L32" s="1028"/>
      <c r="M32" s="1028"/>
      <c r="N32" s="1028"/>
      <c r="O32" s="1028"/>
      <c r="P32" s="1028"/>
      <c r="Q32" s="1028"/>
      <c r="R32" s="30">
        <v>1</v>
      </c>
      <c r="S32" s="1025"/>
      <c r="T32" s="1022"/>
    </row>
    <row r="33" spans="1:27" s="237" customFormat="1" ht="40.9" customHeight="1">
      <c r="A33" s="671"/>
      <c r="B33" s="671"/>
      <c r="C33" s="671"/>
      <c r="D33" s="671"/>
      <c r="E33" s="30" t="s">
        <v>829</v>
      </c>
      <c r="F33" s="1028">
        <v>0.5</v>
      </c>
      <c r="G33" s="1028"/>
      <c r="H33" s="1028"/>
      <c r="I33" s="1028"/>
      <c r="J33" s="1028"/>
      <c r="K33" s="1028"/>
      <c r="L33" s="1028"/>
      <c r="M33" s="1028"/>
      <c r="N33" s="1028"/>
      <c r="O33" s="1028"/>
      <c r="P33" s="1028"/>
      <c r="Q33" s="1028"/>
      <c r="R33" s="30">
        <v>1</v>
      </c>
      <c r="S33" s="1025"/>
      <c r="T33" s="1022"/>
    </row>
    <row r="34" spans="1:27" s="237" customFormat="1" ht="40.9" customHeight="1">
      <c r="A34" s="671"/>
      <c r="B34" s="671"/>
      <c r="C34" s="671"/>
      <c r="D34" s="671" t="s">
        <v>830</v>
      </c>
      <c r="E34" s="30" t="s">
        <v>831</v>
      </c>
      <c r="F34" s="671">
        <v>771</v>
      </c>
      <c r="G34" s="671"/>
      <c r="H34" s="671"/>
      <c r="I34" s="671"/>
      <c r="J34" s="671"/>
      <c r="K34" s="671"/>
      <c r="L34" s="671"/>
      <c r="M34" s="671"/>
      <c r="N34" s="671"/>
      <c r="O34" s="671"/>
      <c r="P34" s="671"/>
      <c r="Q34" s="671"/>
      <c r="R34" s="30">
        <v>1</v>
      </c>
      <c r="S34" s="1025"/>
      <c r="T34" s="1022"/>
    </row>
    <row r="35" spans="1:27" s="237" customFormat="1" ht="40.9" customHeight="1">
      <c r="A35" s="671"/>
      <c r="B35" s="671"/>
      <c r="C35" s="671"/>
      <c r="D35" s="671"/>
      <c r="E35" s="30" t="s">
        <v>825</v>
      </c>
      <c r="F35" s="671">
        <v>3740</v>
      </c>
      <c r="G35" s="671"/>
      <c r="H35" s="671"/>
      <c r="I35" s="671"/>
      <c r="J35" s="671"/>
      <c r="K35" s="671"/>
      <c r="L35" s="671"/>
      <c r="M35" s="671"/>
      <c r="N35" s="671"/>
      <c r="O35" s="671"/>
      <c r="P35" s="671"/>
      <c r="Q35" s="671"/>
      <c r="R35" s="30">
        <v>1</v>
      </c>
      <c r="S35" s="1025"/>
      <c r="T35" s="1022"/>
    </row>
    <row r="36" spans="1:27" s="237" customFormat="1" ht="40.9" customHeight="1">
      <c r="A36" s="671">
        <v>6</v>
      </c>
      <c r="B36" s="671" t="s">
        <v>832</v>
      </c>
      <c r="C36" s="671" t="s">
        <v>770</v>
      </c>
      <c r="D36" s="671" t="s">
        <v>771</v>
      </c>
      <c r="E36" s="30" t="s">
        <v>772</v>
      </c>
      <c r="F36" s="671">
        <f>200/1000</f>
        <v>0.2</v>
      </c>
      <c r="G36" s="671"/>
      <c r="H36" s="671"/>
      <c r="I36" s="671"/>
      <c r="J36" s="671"/>
      <c r="K36" s="671"/>
      <c r="L36" s="671"/>
      <c r="M36" s="671"/>
      <c r="N36" s="671"/>
      <c r="O36" s="671"/>
      <c r="P36" s="671"/>
      <c r="Q36" s="671"/>
      <c r="R36" s="251">
        <v>0</v>
      </c>
      <c r="S36" s="1026">
        <f>+(F36*R36+F37)*F38</f>
        <v>0</v>
      </c>
      <c r="T36" s="1022">
        <f>+S36/1000</f>
        <v>0</v>
      </c>
    </row>
    <row r="37" spans="1:27" s="237" customFormat="1" ht="40.9" customHeight="1">
      <c r="A37" s="671"/>
      <c r="B37" s="671"/>
      <c r="C37" s="671"/>
      <c r="D37" s="671"/>
      <c r="E37" s="30" t="s">
        <v>773</v>
      </c>
      <c r="F37" s="671">
        <f>0/1000</f>
        <v>0</v>
      </c>
      <c r="G37" s="671"/>
      <c r="H37" s="671"/>
      <c r="I37" s="671"/>
      <c r="J37" s="671"/>
      <c r="K37" s="671"/>
      <c r="L37" s="671"/>
      <c r="M37" s="671"/>
      <c r="N37" s="671"/>
      <c r="O37" s="671"/>
      <c r="P37" s="671"/>
      <c r="Q37" s="671"/>
      <c r="R37" s="251"/>
      <c r="S37" s="1026"/>
      <c r="T37" s="1022"/>
    </row>
    <row r="38" spans="1:27" s="237" customFormat="1" ht="40.9" customHeight="1">
      <c r="A38" s="671"/>
      <c r="B38" s="671"/>
      <c r="C38" s="671"/>
      <c r="D38" s="30" t="s">
        <v>814</v>
      </c>
      <c r="E38" s="30" t="s">
        <v>833</v>
      </c>
      <c r="F38" s="671">
        <v>0.501</v>
      </c>
      <c r="G38" s="671"/>
      <c r="H38" s="671"/>
      <c r="I38" s="671"/>
      <c r="J38" s="671"/>
      <c r="K38" s="671"/>
      <c r="L38" s="671"/>
      <c r="M38" s="671"/>
      <c r="N38" s="671"/>
      <c r="O38" s="671"/>
      <c r="P38" s="671"/>
      <c r="Q38" s="671"/>
      <c r="R38" s="251"/>
      <c r="S38" s="1026"/>
      <c r="T38" s="1022"/>
    </row>
    <row r="39" spans="1:27" s="237" customFormat="1" ht="37.9" customHeight="1">
      <c r="A39" s="671">
        <v>7</v>
      </c>
      <c r="B39" s="671" t="s">
        <v>769</v>
      </c>
      <c r="C39" s="671" t="s">
        <v>834</v>
      </c>
      <c r="D39" s="671" t="s">
        <v>771</v>
      </c>
      <c r="E39" s="30" t="s">
        <v>772</v>
      </c>
      <c r="F39" s="671">
        <f>51330/1000</f>
        <v>51.33</v>
      </c>
      <c r="G39" s="671"/>
      <c r="H39" s="671"/>
      <c r="I39" s="671"/>
      <c r="J39" s="671"/>
      <c r="K39" s="671"/>
      <c r="L39" s="671"/>
      <c r="M39" s="671"/>
      <c r="N39" s="671"/>
      <c r="O39" s="671"/>
      <c r="P39" s="671"/>
      <c r="Q39" s="671"/>
      <c r="R39" s="251">
        <v>0</v>
      </c>
      <c r="S39" s="1025">
        <f>+((F39*R39+F40*R40)/1)*F41*R41</f>
        <v>8584.7999999999993</v>
      </c>
      <c r="T39" s="1022">
        <f>+S39/1000</f>
        <v>8.5847999999999995</v>
      </c>
      <c r="Y39" s="264"/>
      <c r="Z39" s="264"/>
      <c r="AA39" s="264"/>
    </row>
    <row r="40" spans="1:27" s="237" customFormat="1" ht="30.75" customHeight="1">
      <c r="A40" s="671"/>
      <c r="B40" s="671"/>
      <c r="C40" s="671"/>
      <c r="D40" s="671"/>
      <c r="E40" s="30" t="s">
        <v>773</v>
      </c>
      <c r="F40" s="671">
        <f>4380/1000</f>
        <v>4.38</v>
      </c>
      <c r="G40" s="671"/>
      <c r="H40" s="671"/>
      <c r="I40" s="671"/>
      <c r="J40" s="671"/>
      <c r="K40" s="671"/>
      <c r="L40" s="671"/>
      <c r="M40" s="671"/>
      <c r="N40" s="671"/>
      <c r="O40" s="671"/>
      <c r="P40" s="671"/>
      <c r="Q40" s="671"/>
      <c r="R40" s="30">
        <v>1</v>
      </c>
      <c r="S40" s="1025"/>
      <c r="T40" s="1022"/>
      <c r="Y40" s="264" t="s">
        <v>774</v>
      </c>
      <c r="Z40" s="264" t="s">
        <v>775</v>
      </c>
      <c r="AA40" s="264" t="s">
        <v>776</v>
      </c>
    </row>
    <row r="41" spans="1:27" s="237" customFormat="1" ht="35.450000000000003" customHeight="1">
      <c r="A41" s="671"/>
      <c r="B41" s="671"/>
      <c r="C41" s="671"/>
      <c r="D41" s="30" t="s">
        <v>777</v>
      </c>
      <c r="E41" s="30" t="s">
        <v>769</v>
      </c>
      <c r="F41" s="671">
        <v>1960</v>
      </c>
      <c r="G41" s="671"/>
      <c r="H41" s="671"/>
      <c r="I41" s="671"/>
      <c r="J41" s="671"/>
      <c r="K41" s="671"/>
      <c r="L41" s="671"/>
      <c r="M41" s="671"/>
      <c r="N41" s="671"/>
      <c r="O41" s="671"/>
      <c r="P41" s="671"/>
      <c r="Q41" s="671"/>
      <c r="R41" s="30">
        <v>1</v>
      </c>
      <c r="S41" s="1025"/>
      <c r="T41" s="1022"/>
      <c r="V41" s="252" t="s">
        <v>778</v>
      </c>
      <c r="W41" s="253" t="s">
        <v>779</v>
      </c>
      <c r="X41" s="578" t="s">
        <v>780</v>
      </c>
      <c r="Y41" s="579" t="s">
        <v>781</v>
      </c>
      <c r="Z41" s="265" t="s">
        <v>782</v>
      </c>
      <c r="AA41" s="265" t="s">
        <v>783</v>
      </c>
    </row>
    <row r="42" spans="1:27" s="237" customFormat="1" ht="42" customHeight="1">
      <c r="A42" s="671">
        <v>8</v>
      </c>
      <c r="B42" s="671" t="s">
        <v>784</v>
      </c>
      <c r="C42" s="671" t="s">
        <v>834</v>
      </c>
      <c r="D42" s="671" t="s">
        <v>771</v>
      </c>
      <c r="E42" s="30" t="s">
        <v>772</v>
      </c>
      <c r="F42" s="671">
        <f>34550/1000</f>
        <v>34.549999999999997</v>
      </c>
      <c r="G42" s="671"/>
      <c r="H42" s="671"/>
      <c r="I42" s="671"/>
      <c r="J42" s="671"/>
      <c r="K42" s="671"/>
      <c r="L42" s="671"/>
      <c r="M42" s="671"/>
      <c r="N42" s="671"/>
      <c r="O42" s="671"/>
      <c r="P42" s="671"/>
      <c r="Q42" s="671"/>
      <c r="R42" s="251">
        <v>0</v>
      </c>
      <c r="S42" s="1025">
        <f>+((F42*R42+F43*R43)/1)*F44*R44</f>
        <v>2020.02</v>
      </c>
      <c r="T42" s="1022">
        <f>+S42/1000</f>
        <v>2.0200200000000001</v>
      </c>
      <c r="V42" s="254" t="s">
        <v>786</v>
      </c>
      <c r="W42" s="255" t="s">
        <v>787</v>
      </c>
      <c r="X42" s="580" t="s">
        <v>788</v>
      </c>
      <c r="Y42" s="256" t="s">
        <v>789</v>
      </c>
      <c r="Z42" s="581" t="s">
        <v>790</v>
      </c>
      <c r="AA42" s="256" t="s">
        <v>791</v>
      </c>
    </row>
    <row r="43" spans="1:27" s="237" customFormat="1" ht="29.25" customHeight="1">
      <c r="A43" s="671"/>
      <c r="B43" s="671"/>
      <c r="C43" s="671"/>
      <c r="D43" s="671"/>
      <c r="E43" s="30" t="s">
        <v>773</v>
      </c>
      <c r="F43" s="671">
        <f>2620/1000</f>
        <v>2.62</v>
      </c>
      <c r="G43" s="671"/>
      <c r="H43" s="671"/>
      <c r="I43" s="671"/>
      <c r="J43" s="671"/>
      <c r="K43" s="671"/>
      <c r="L43" s="671"/>
      <c r="M43" s="671"/>
      <c r="N43" s="671"/>
      <c r="O43" s="671"/>
      <c r="P43" s="671"/>
      <c r="Q43" s="671"/>
      <c r="R43" s="30">
        <v>1</v>
      </c>
      <c r="S43" s="1025"/>
      <c r="T43" s="1022"/>
      <c r="V43" s="257" t="s">
        <v>792</v>
      </c>
      <c r="W43" s="258" t="s">
        <v>793</v>
      </c>
      <c r="X43" s="582" t="s">
        <v>794</v>
      </c>
      <c r="Y43" s="256" t="s">
        <v>789</v>
      </c>
      <c r="Z43" s="581" t="s">
        <v>795</v>
      </c>
      <c r="AA43" s="256" t="s">
        <v>796</v>
      </c>
    </row>
    <row r="44" spans="1:27" s="237" customFormat="1" ht="31.15" customHeight="1">
      <c r="A44" s="671"/>
      <c r="B44" s="671"/>
      <c r="C44" s="671"/>
      <c r="D44" s="30" t="s">
        <v>797</v>
      </c>
      <c r="E44" s="30" t="s">
        <v>784</v>
      </c>
      <c r="F44" s="671">
        <v>771</v>
      </c>
      <c r="G44" s="671"/>
      <c r="H44" s="671"/>
      <c r="I44" s="671"/>
      <c r="J44" s="671"/>
      <c r="K44" s="671"/>
      <c r="L44" s="671"/>
      <c r="M44" s="671"/>
      <c r="N44" s="671"/>
      <c r="O44" s="671"/>
      <c r="P44" s="671"/>
      <c r="Q44" s="671"/>
      <c r="R44" s="30">
        <v>1</v>
      </c>
      <c r="S44" s="1025"/>
      <c r="T44" s="1022"/>
      <c r="V44" s="254" t="s">
        <v>798</v>
      </c>
      <c r="W44" s="259" t="s">
        <v>799</v>
      </c>
      <c r="X44" s="580" t="s">
        <v>800</v>
      </c>
      <c r="Y44" s="256" t="s">
        <v>781</v>
      </c>
      <c r="Z44" s="580" t="s">
        <v>801</v>
      </c>
      <c r="AA44" s="256" t="s">
        <v>802</v>
      </c>
    </row>
    <row r="45" spans="1:27" s="237" customFormat="1" ht="43.9" customHeight="1">
      <c r="A45" s="671">
        <v>9</v>
      </c>
      <c r="B45" s="671" t="s">
        <v>803</v>
      </c>
      <c r="C45" s="671" t="s">
        <v>834</v>
      </c>
      <c r="D45" s="671" t="s">
        <v>771</v>
      </c>
      <c r="E45" s="30" t="s">
        <v>772</v>
      </c>
      <c r="F45" s="671">
        <f>6925/1000</f>
        <v>6.9249999999999998</v>
      </c>
      <c r="G45" s="671"/>
      <c r="H45" s="671"/>
      <c r="I45" s="671"/>
      <c r="J45" s="671"/>
      <c r="K45" s="671"/>
      <c r="L45" s="671"/>
      <c r="M45" s="671"/>
      <c r="N45" s="671"/>
      <c r="O45" s="671"/>
      <c r="P45" s="671"/>
      <c r="Q45" s="671"/>
      <c r="R45" s="251">
        <v>0</v>
      </c>
      <c r="S45" s="1025">
        <f>+((F45*R45+F46*R46)/1)*F47*R47</f>
        <v>0</v>
      </c>
      <c r="T45" s="1022">
        <f>+S45/1000</f>
        <v>0</v>
      </c>
      <c r="V45" s="257" t="s">
        <v>804</v>
      </c>
      <c r="W45" s="258" t="s">
        <v>805</v>
      </c>
      <c r="X45" s="582" t="s">
        <v>806</v>
      </c>
      <c r="Y45" s="256" t="s">
        <v>789</v>
      </c>
      <c r="Z45" s="583" t="s">
        <v>807</v>
      </c>
      <c r="AA45" s="256" t="s">
        <v>796</v>
      </c>
    </row>
    <row r="46" spans="1:27" s="237" customFormat="1" ht="31.5" customHeight="1">
      <c r="A46" s="671"/>
      <c r="B46" s="671"/>
      <c r="C46" s="671"/>
      <c r="D46" s="671"/>
      <c r="E46" s="30" t="s">
        <v>773</v>
      </c>
      <c r="F46" s="671">
        <f>0/1000</f>
        <v>0</v>
      </c>
      <c r="G46" s="671"/>
      <c r="H46" s="671"/>
      <c r="I46" s="671"/>
      <c r="J46" s="671"/>
      <c r="K46" s="671"/>
      <c r="L46" s="671"/>
      <c r="M46" s="671"/>
      <c r="N46" s="671"/>
      <c r="O46" s="671"/>
      <c r="P46" s="671"/>
      <c r="Q46" s="671"/>
      <c r="R46" s="30">
        <v>1</v>
      </c>
      <c r="S46" s="1025"/>
      <c r="T46" s="1022"/>
      <c r="V46" s="252" t="s">
        <v>808</v>
      </c>
      <c r="W46" s="260" t="s">
        <v>809</v>
      </c>
      <c r="X46" s="584" t="s">
        <v>810</v>
      </c>
      <c r="Y46" s="265" t="s">
        <v>781</v>
      </c>
      <c r="Z46" s="579" t="s">
        <v>811</v>
      </c>
      <c r="AA46" s="265" t="s">
        <v>812</v>
      </c>
    </row>
    <row r="47" spans="1:27" s="237" customFormat="1" ht="36.6" customHeight="1">
      <c r="A47" s="671"/>
      <c r="B47" s="671"/>
      <c r="C47" s="671"/>
      <c r="D47" s="30" t="s">
        <v>813</v>
      </c>
      <c r="E47" s="30" t="s">
        <v>814</v>
      </c>
      <c r="F47" s="671">
        <v>1530</v>
      </c>
      <c r="G47" s="671"/>
      <c r="H47" s="671"/>
      <c r="I47" s="671"/>
      <c r="J47" s="671"/>
      <c r="K47" s="671"/>
      <c r="L47" s="671"/>
      <c r="M47" s="671"/>
      <c r="N47" s="671"/>
      <c r="O47" s="671"/>
      <c r="P47" s="671"/>
      <c r="Q47" s="671"/>
      <c r="R47" s="30">
        <v>1</v>
      </c>
      <c r="S47" s="1025"/>
      <c r="T47" s="1022"/>
      <c r="V47" s="257" t="s">
        <v>815</v>
      </c>
      <c r="W47" s="258" t="s">
        <v>816</v>
      </c>
      <c r="X47" s="582" t="s">
        <v>817</v>
      </c>
      <c r="Y47" s="256" t="s">
        <v>781</v>
      </c>
      <c r="Z47" s="580" t="s">
        <v>818</v>
      </c>
      <c r="AA47" s="256" t="s">
        <v>802</v>
      </c>
    </row>
    <row r="48" spans="1:27" s="237" customFormat="1" ht="50.25" customHeight="1">
      <c r="A48" s="671">
        <v>10</v>
      </c>
      <c r="B48" s="671" t="s">
        <v>826</v>
      </c>
      <c r="C48" s="671" t="s">
        <v>834</v>
      </c>
      <c r="D48" s="671" t="s">
        <v>771</v>
      </c>
      <c r="E48" s="30" t="s">
        <v>772</v>
      </c>
      <c r="F48" s="671">
        <f>2570/1000</f>
        <v>2.57</v>
      </c>
      <c r="G48" s="671"/>
      <c r="H48" s="671"/>
      <c r="I48" s="671"/>
      <c r="J48" s="671"/>
      <c r="K48" s="671"/>
      <c r="L48" s="671"/>
      <c r="M48" s="671"/>
      <c r="N48" s="671"/>
      <c r="O48" s="671"/>
      <c r="P48" s="671"/>
      <c r="Q48" s="671"/>
      <c r="R48" s="251">
        <v>0</v>
      </c>
      <c r="S48" s="1025">
        <f>+((F48*R48+F49*R49)/1)*(F50*R50*F52*R52+F51*R51*F53*R53)</f>
        <v>0</v>
      </c>
      <c r="T48" s="1022">
        <f>+S48/1000</f>
        <v>0</v>
      </c>
    </row>
    <row r="49" spans="1:22" s="237" customFormat="1" ht="50.25" customHeight="1">
      <c r="A49" s="671"/>
      <c r="B49" s="671"/>
      <c r="C49" s="671"/>
      <c r="D49" s="671"/>
      <c r="E49" s="30" t="s">
        <v>773</v>
      </c>
      <c r="F49" s="671">
        <f>0/1000</f>
        <v>0</v>
      </c>
      <c r="G49" s="671"/>
      <c r="H49" s="671"/>
      <c r="I49" s="671"/>
      <c r="J49" s="671"/>
      <c r="K49" s="671"/>
      <c r="L49" s="671"/>
      <c r="M49" s="671"/>
      <c r="N49" s="671"/>
      <c r="O49" s="671"/>
      <c r="P49" s="671"/>
      <c r="Q49" s="671"/>
      <c r="R49" s="30">
        <v>1</v>
      </c>
      <c r="S49" s="1025"/>
      <c r="T49" s="1022"/>
    </row>
    <row r="50" spans="1:22" s="237" customFormat="1" ht="50.25" customHeight="1">
      <c r="A50" s="671"/>
      <c r="B50" s="671"/>
      <c r="C50" s="671"/>
      <c r="D50" s="671" t="s">
        <v>827</v>
      </c>
      <c r="E50" s="30" t="s">
        <v>828</v>
      </c>
      <c r="F50" s="1028">
        <v>0.5</v>
      </c>
      <c r="G50" s="1028"/>
      <c r="H50" s="1028"/>
      <c r="I50" s="1028"/>
      <c r="J50" s="1028"/>
      <c r="K50" s="1028"/>
      <c r="L50" s="1028"/>
      <c r="M50" s="1028"/>
      <c r="N50" s="1028"/>
      <c r="O50" s="1028"/>
      <c r="P50" s="1028"/>
      <c r="Q50" s="1028"/>
      <c r="R50" s="30">
        <v>1</v>
      </c>
      <c r="S50" s="1025"/>
      <c r="T50" s="1022"/>
    </row>
    <row r="51" spans="1:22" s="237" customFormat="1" ht="50.25" customHeight="1">
      <c r="A51" s="671"/>
      <c r="B51" s="671"/>
      <c r="C51" s="671"/>
      <c r="D51" s="671"/>
      <c r="E51" s="30" t="s">
        <v>829</v>
      </c>
      <c r="F51" s="1028">
        <v>0.5</v>
      </c>
      <c r="G51" s="1028"/>
      <c r="H51" s="1028"/>
      <c r="I51" s="1028"/>
      <c r="J51" s="1028"/>
      <c r="K51" s="1028"/>
      <c r="L51" s="1028"/>
      <c r="M51" s="1028"/>
      <c r="N51" s="1028"/>
      <c r="O51" s="1028"/>
      <c r="P51" s="1028"/>
      <c r="Q51" s="1028"/>
      <c r="R51" s="30">
        <v>1</v>
      </c>
      <c r="S51" s="1025"/>
      <c r="T51" s="1022"/>
    </row>
    <row r="52" spans="1:22" s="237" customFormat="1" ht="50.25" customHeight="1">
      <c r="A52" s="671"/>
      <c r="B52" s="671"/>
      <c r="C52" s="671"/>
      <c r="D52" s="671" t="s">
        <v>830</v>
      </c>
      <c r="E52" s="30" t="s">
        <v>831</v>
      </c>
      <c r="F52" s="671">
        <v>771</v>
      </c>
      <c r="G52" s="671"/>
      <c r="H52" s="671"/>
      <c r="I52" s="671"/>
      <c r="J52" s="671"/>
      <c r="K52" s="671"/>
      <c r="L52" s="671"/>
      <c r="M52" s="671"/>
      <c r="N52" s="671"/>
      <c r="O52" s="671"/>
      <c r="P52" s="671"/>
      <c r="Q52" s="671"/>
      <c r="R52" s="30">
        <v>1</v>
      </c>
      <c r="S52" s="1025"/>
      <c r="T52" s="1022"/>
    </row>
    <row r="53" spans="1:22" s="237" customFormat="1" ht="50.25" customHeight="1">
      <c r="A53" s="671"/>
      <c r="B53" s="671"/>
      <c r="C53" s="671"/>
      <c r="D53" s="671"/>
      <c r="E53" s="30" t="s">
        <v>825</v>
      </c>
      <c r="F53" s="671">
        <v>3740</v>
      </c>
      <c r="G53" s="671"/>
      <c r="H53" s="671"/>
      <c r="I53" s="671"/>
      <c r="J53" s="671"/>
      <c r="K53" s="671"/>
      <c r="L53" s="671"/>
      <c r="M53" s="671"/>
      <c r="N53" s="671"/>
      <c r="O53" s="671"/>
      <c r="P53" s="671"/>
      <c r="Q53" s="671"/>
      <c r="R53" s="30">
        <v>1</v>
      </c>
      <c r="S53" s="1025"/>
      <c r="T53" s="1022"/>
    </row>
    <row r="54" spans="1:22" s="237" customFormat="1" ht="50.25" customHeight="1">
      <c r="A54" s="671">
        <v>11</v>
      </c>
      <c r="B54" s="671" t="s">
        <v>835</v>
      </c>
      <c r="C54" s="671" t="s">
        <v>834</v>
      </c>
      <c r="D54" s="671" t="s">
        <v>771</v>
      </c>
      <c r="E54" s="30" t="s">
        <v>772</v>
      </c>
      <c r="F54" s="671">
        <f>600/1000</f>
        <v>0.6</v>
      </c>
      <c r="G54" s="671"/>
      <c r="H54" s="671"/>
      <c r="I54" s="671"/>
      <c r="J54" s="671"/>
      <c r="K54" s="671"/>
      <c r="L54" s="671"/>
      <c r="M54" s="671"/>
      <c r="N54" s="671"/>
      <c r="O54" s="671"/>
      <c r="P54" s="671"/>
      <c r="Q54" s="671"/>
      <c r="R54" s="251">
        <v>0</v>
      </c>
      <c r="S54" s="1027">
        <f>+((F54*R54+F55*R55)/1)*F56*R56</f>
        <v>0</v>
      </c>
      <c r="T54" s="1024">
        <f>+S54/1000</f>
        <v>0</v>
      </c>
    </row>
    <row r="55" spans="1:22" s="237" customFormat="1" ht="50.25" customHeight="1">
      <c r="A55" s="671"/>
      <c r="B55" s="671"/>
      <c r="C55" s="671"/>
      <c r="D55" s="671"/>
      <c r="E55" s="30" t="s">
        <v>773</v>
      </c>
      <c r="F55" s="671">
        <f>0/1000</f>
        <v>0</v>
      </c>
      <c r="G55" s="671"/>
      <c r="H55" s="671"/>
      <c r="I55" s="671"/>
      <c r="J55" s="671"/>
      <c r="K55" s="671"/>
      <c r="L55" s="671"/>
      <c r="M55" s="671"/>
      <c r="N55" s="671"/>
      <c r="O55" s="671"/>
      <c r="P55" s="671"/>
      <c r="Q55" s="671"/>
      <c r="R55" s="30">
        <v>1</v>
      </c>
      <c r="S55" s="1027"/>
      <c r="T55" s="1024"/>
    </row>
    <row r="56" spans="1:22" s="237" customFormat="1" ht="50.25" customHeight="1">
      <c r="A56" s="671"/>
      <c r="B56" s="671"/>
      <c r="C56" s="671"/>
      <c r="D56" s="30" t="s">
        <v>836</v>
      </c>
      <c r="E56" s="30" t="s">
        <v>837</v>
      </c>
      <c r="F56" s="671">
        <v>4</v>
      </c>
      <c r="G56" s="671"/>
      <c r="H56" s="671"/>
      <c r="I56" s="671"/>
      <c r="J56" s="671"/>
      <c r="K56" s="671"/>
      <c r="L56" s="671"/>
      <c r="M56" s="671"/>
      <c r="N56" s="671"/>
      <c r="O56" s="671"/>
      <c r="P56" s="671"/>
      <c r="Q56" s="671"/>
      <c r="R56" s="30">
        <v>1</v>
      </c>
      <c r="S56" s="1027"/>
      <c r="T56" s="1024"/>
    </row>
    <row r="57" spans="1:22" s="237" customFormat="1" ht="50.25" customHeight="1">
      <c r="A57" s="671">
        <v>12</v>
      </c>
      <c r="B57" s="671" t="s">
        <v>838</v>
      </c>
      <c r="C57" s="671" t="s">
        <v>834</v>
      </c>
      <c r="D57" s="671" t="s">
        <v>771</v>
      </c>
      <c r="E57" s="30" t="s">
        <v>772</v>
      </c>
      <c r="F57" s="671">
        <f>78/1000</f>
        <v>7.8E-2</v>
      </c>
      <c r="G57" s="671"/>
      <c r="H57" s="671"/>
      <c r="I57" s="671"/>
      <c r="J57" s="671"/>
      <c r="K57" s="671"/>
      <c r="L57" s="671"/>
      <c r="M57" s="671"/>
      <c r="N57" s="671"/>
      <c r="O57" s="671"/>
      <c r="P57" s="671"/>
      <c r="Q57" s="671"/>
      <c r="R57" s="251">
        <v>0</v>
      </c>
      <c r="S57" s="1027">
        <f>+((F57*R57+F58*R58)/1)*F59*R59</f>
        <v>0</v>
      </c>
      <c r="T57" s="1024">
        <f>+S57/1000</f>
        <v>0</v>
      </c>
      <c r="V57" s="262"/>
    </row>
    <row r="58" spans="1:22" s="237" customFormat="1" ht="50.25" customHeight="1">
      <c r="A58" s="671"/>
      <c r="B58" s="671"/>
      <c r="C58" s="671"/>
      <c r="D58" s="671"/>
      <c r="E58" s="30" t="s">
        <v>773</v>
      </c>
      <c r="F58" s="671">
        <f>0/1000</f>
        <v>0</v>
      </c>
      <c r="G58" s="671"/>
      <c r="H58" s="671"/>
      <c r="I58" s="671"/>
      <c r="J58" s="671"/>
      <c r="K58" s="671"/>
      <c r="L58" s="671"/>
      <c r="M58" s="671"/>
      <c r="N58" s="671"/>
      <c r="O58" s="671"/>
      <c r="P58" s="671"/>
      <c r="Q58" s="671"/>
      <c r="R58" s="30">
        <v>1</v>
      </c>
      <c r="S58" s="1027"/>
      <c r="T58" s="1024"/>
    </row>
    <row r="59" spans="1:22" s="237" customFormat="1" ht="50.25" customHeight="1">
      <c r="A59" s="671"/>
      <c r="B59" s="671"/>
      <c r="C59" s="671"/>
      <c r="D59" s="30" t="s">
        <v>839</v>
      </c>
      <c r="E59" s="30" t="s">
        <v>840</v>
      </c>
      <c r="F59" s="671">
        <v>3</v>
      </c>
      <c r="G59" s="671"/>
      <c r="H59" s="671"/>
      <c r="I59" s="671"/>
      <c r="J59" s="671"/>
      <c r="K59" s="671"/>
      <c r="L59" s="671"/>
      <c r="M59" s="671"/>
      <c r="N59" s="671"/>
      <c r="O59" s="671"/>
      <c r="P59" s="671"/>
      <c r="Q59" s="671"/>
      <c r="R59" s="30">
        <v>1</v>
      </c>
      <c r="S59" s="1027"/>
      <c r="T59" s="1024"/>
    </row>
    <row r="60" spans="1:22" s="237" customFormat="1" ht="50.25" customHeight="1">
      <c r="A60" s="864" t="s">
        <v>841</v>
      </c>
      <c r="B60" s="864"/>
      <c r="C60" s="864"/>
      <c r="D60" s="864"/>
      <c r="E60" s="864"/>
      <c r="F60" s="864"/>
      <c r="G60" s="864"/>
      <c r="H60" s="864"/>
      <c r="I60" s="864"/>
      <c r="J60" s="864"/>
      <c r="K60" s="864"/>
      <c r="L60" s="864"/>
      <c r="M60" s="864"/>
      <c r="N60" s="864"/>
      <c r="O60" s="864"/>
      <c r="P60" s="864"/>
      <c r="Q60" s="864"/>
      <c r="R60" s="864"/>
      <c r="S60" s="864"/>
      <c r="T60" s="106">
        <f>SUM(T13:T59)</f>
        <v>12.593820000000001</v>
      </c>
    </row>
    <row r="61" spans="1:22" s="237" customFormat="1" ht="27.6" customHeight="1">
      <c r="A61" s="248"/>
      <c r="B61" s="248"/>
      <c r="C61" s="248"/>
      <c r="D61" s="248"/>
      <c r="E61" s="248"/>
      <c r="F61" s="248"/>
      <c r="G61" s="248"/>
      <c r="H61" s="248"/>
      <c r="I61" s="248"/>
      <c r="J61" s="248"/>
      <c r="K61" s="248"/>
      <c r="L61" s="248"/>
      <c r="M61" s="248"/>
      <c r="N61" s="248"/>
      <c r="O61" s="248"/>
      <c r="P61" s="248"/>
      <c r="Q61" s="248"/>
      <c r="R61" s="248"/>
      <c r="S61" s="248"/>
      <c r="T61" s="263"/>
    </row>
    <row r="62" spans="1:22" ht="24" customHeight="1">
      <c r="A62" s="682" t="s">
        <v>524</v>
      </c>
      <c r="B62" s="683"/>
      <c r="C62" s="683"/>
      <c r="D62" s="683"/>
      <c r="E62" s="683"/>
      <c r="F62" s="683"/>
      <c r="G62" s="683"/>
      <c r="H62" s="683"/>
      <c r="I62" s="683"/>
      <c r="J62" s="683"/>
      <c r="K62" s="683"/>
      <c r="L62" s="683"/>
      <c r="M62" s="683"/>
      <c r="N62" s="683"/>
      <c r="O62" s="683"/>
      <c r="P62" s="683"/>
      <c r="Q62" s="683"/>
      <c r="R62" s="683"/>
      <c r="S62" s="683"/>
      <c r="T62" s="684"/>
    </row>
    <row r="63" spans="1:22" s="237" customFormat="1" ht="16.5">
      <c r="A63" s="249"/>
      <c r="B63" s="23"/>
      <c r="C63" s="23"/>
      <c r="D63" s="23"/>
      <c r="E63" s="23"/>
      <c r="F63" s="23"/>
      <c r="G63" s="23"/>
      <c r="H63" s="23"/>
      <c r="I63" s="23"/>
      <c r="J63" s="23"/>
      <c r="K63" s="23"/>
      <c r="L63" s="23"/>
      <c r="M63" s="23"/>
      <c r="N63" s="23"/>
      <c r="O63" s="23"/>
      <c r="P63" s="23"/>
      <c r="Q63" s="23"/>
      <c r="R63" s="23"/>
      <c r="S63" s="23"/>
      <c r="T63" s="24"/>
    </row>
    <row r="64" spans="1:22" s="237" customFormat="1" ht="22.15" customHeight="1">
      <c r="A64" s="899" t="s">
        <v>525</v>
      </c>
      <c r="B64" s="899"/>
      <c r="C64" s="899"/>
      <c r="D64" s="899"/>
      <c r="E64" s="899" t="s">
        <v>526</v>
      </c>
      <c r="F64" s="899"/>
      <c r="G64" s="899"/>
      <c r="H64" s="899"/>
      <c r="I64" s="899"/>
      <c r="J64" s="899"/>
      <c r="K64" s="899"/>
      <c r="L64" s="899"/>
      <c r="M64" s="899"/>
      <c r="N64" s="899"/>
      <c r="O64" s="899"/>
      <c r="P64" s="899"/>
      <c r="Q64" s="899"/>
      <c r="R64" s="899"/>
      <c r="S64" s="899"/>
      <c r="T64" s="899"/>
    </row>
    <row r="65" spans="1:20" s="237" customFormat="1" ht="22.15" customHeight="1">
      <c r="A65" s="671" t="s">
        <v>842</v>
      </c>
      <c r="B65" s="671"/>
      <c r="C65" s="671"/>
      <c r="D65" s="671"/>
      <c r="E65" s="895" t="s">
        <v>749</v>
      </c>
      <c r="F65" s="895"/>
      <c r="G65" s="895"/>
      <c r="H65" s="895"/>
      <c r="I65" s="895"/>
      <c r="J65" s="895"/>
      <c r="K65" s="895"/>
      <c r="L65" s="895"/>
      <c r="M65" s="895"/>
      <c r="N65" s="895"/>
      <c r="O65" s="895"/>
      <c r="P65" s="895"/>
      <c r="Q65" s="895"/>
      <c r="R65" s="895"/>
      <c r="S65" s="895"/>
      <c r="T65" s="895"/>
    </row>
    <row r="66" spans="1:20" s="237" customFormat="1" ht="30" customHeight="1">
      <c r="A66" s="863" t="s">
        <v>843</v>
      </c>
      <c r="B66" s="863"/>
      <c r="C66" s="863"/>
      <c r="D66" s="863"/>
      <c r="E66" s="899" t="s">
        <v>526</v>
      </c>
      <c r="F66" s="899"/>
      <c r="G66" s="28" t="s">
        <v>527</v>
      </c>
      <c r="H66" s="899" t="s">
        <v>528</v>
      </c>
      <c r="I66" s="899"/>
      <c r="J66" s="899"/>
      <c r="K66" s="899"/>
      <c r="L66" s="899"/>
      <c r="M66" s="899"/>
      <c r="N66" s="899"/>
      <c r="O66" s="899"/>
      <c r="P66" s="899"/>
      <c r="Q66" s="899"/>
      <c r="R66" s="899"/>
      <c r="S66" s="899"/>
      <c r="T66" s="899"/>
    </row>
    <row r="67" spans="1:20" s="237" customFormat="1" ht="34.9" customHeight="1">
      <c r="A67" s="671" t="s">
        <v>844</v>
      </c>
      <c r="B67" s="895"/>
      <c r="C67" s="895"/>
      <c r="D67" s="895"/>
      <c r="E67" s="897">
        <v>0.5</v>
      </c>
      <c r="F67" s="897"/>
      <c r="G67" s="177" t="s">
        <v>845</v>
      </c>
      <c r="H67" s="728" t="s">
        <v>846</v>
      </c>
      <c r="I67" s="728"/>
      <c r="J67" s="728"/>
      <c r="K67" s="728"/>
      <c r="L67" s="728"/>
      <c r="M67" s="728"/>
      <c r="N67" s="728"/>
      <c r="O67" s="728"/>
      <c r="P67" s="728"/>
      <c r="Q67" s="728"/>
      <c r="R67" s="728"/>
      <c r="S67" s="728"/>
      <c r="T67" s="728"/>
    </row>
    <row r="68" spans="1:20" s="237" customFormat="1" ht="34.9" customHeight="1">
      <c r="A68" s="671" t="s">
        <v>847</v>
      </c>
      <c r="B68" s="895"/>
      <c r="C68" s="895"/>
      <c r="D68" s="895"/>
      <c r="E68" s="897">
        <v>15</v>
      </c>
      <c r="F68" s="897"/>
      <c r="G68" s="177" t="s">
        <v>845</v>
      </c>
      <c r="H68" s="728" t="s">
        <v>846</v>
      </c>
      <c r="I68" s="728"/>
      <c r="J68" s="728"/>
      <c r="K68" s="728"/>
      <c r="L68" s="728"/>
      <c r="M68" s="728"/>
      <c r="N68" s="728"/>
      <c r="O68" s="728"/>
      <c r="P68" s="728"/>
      <c r="Q68" s="728"/>
      <c r="R68" s="728"/>
      <c r="S68" s="728"/>
      <c r="T68" s="728"/>
    </row>
    <row r="69" spans="1:20" s="237" customFormat="1" ht="33.75" customHeight="1">
      <c r="A69" s="895" t="s">
        <v>848</v>
      </c>
      <c r="B69" s="895"/>
      <c r="C69" s="895"/>
      <c r="D69" s="895"/>
      <c r="E69" s="898">
        <v>1960</v>
      </c>
      <c r="F69" s="898"/>
      <c r="G69" s="177"/>
      <c r="H69" s="728" t="s">
        <v>550</v>
      </c>
      <c r="I69" s="728"/>
      <c r="J69" s="728"/>
      <c r="K69" s="728"/>
      <c r="L69" s="728"/>
      <c r="M69" s="728"/>
      <c r="N69" s="728"/>
      <c r="O69" s="728"/>
      <c r="P69" s="728"/>
      <c r="Q69" s="728"/>
      <c r="R69" s="728"/>
      <c r="S69" s="728"/>
      <c r="T69" s="728"/>
    </row>
    <row r="70" spans="1:20" s="237" customFormat="1" ht="33.75" customHeight="1">
      <c r="A70" s="895" t="s">
        <v>849</v>
      </c>
      <c r="B70" s="895"/>
      <c r="C70" s="895"/>
      <c r="D70" s="895"/>
      <c r="E70" s="898">
        <v>771</v>
      </c>
      <c r="F70" s="898"/>
      <c r="G70" s="177"/>
      <c r="H70" s="728" t="s">
        <v>550</v>
      </c>
      <c r="I70" s="728"/>
      <c r="J70" s="728"/>
      <c r="K70" s="728"/>
      <c r="L70" s="728"/>
      <c r="M70" s="728"/>
      <c r="N70" s="728"/>
      <c r="O70" s="728"/>
      <c r="P70" s="728"/>
      <c r="Q70" s="728"/>
      <c r="R70" s="728"/>
      <c r="S70" s="728"/>
      <c r="T70" s="728"/>
    </row>
    <row r="71" spans="1:20" s="237" customFormat="1" ht="33.75" customHeight="1">
      <c r="A71" s="895" t="s">
        <v>850</v>
      </c>
      <c r="B71" s="895"/>
      <c r="C71" s="895"/>
      <c r="D71" s="895"/>
      <c r="E71" s="896">
        <v>3740</v>
      </c>
      <c r="F71" s="896"/>
      <c r="G71" s="177"/>
      <c r="H71" s="728" t="s">
        <v>550</v>
      </c>
      <c r="I71" s="728"/>
      <c r="J71" s="728"/>
      <c r="K71" s="728"/>
      <c r="L71" s="728"/>
      <c r="M71" s="728"/>
      <c r="N71" s="728"/>
      <c r="O71" s="728"/>
      <c r="P71" s="728"/>
      <c r="Q71" s="728"/>
      <c r="R71" s="728"/>
      <c r="S71" s="728"/>
      <c r="T71" s="728"/>
    </row>
    <row r="72" spans="1:20" s="237" customFormat="1" ht="33.75" customHeight="1">
      <c r="A72" s="895" t="s">
        <v>851</v>
      </c>
      <c r="B72" s="895"/>
      <c r="C72" s="895"/>
      <c r="D72" s="895"/>
      <c r="E72" s="896">
        <v>1530</v>
      </c>
      <c r="F72" s="896"/>
      <c r="G72" s="177"/>
      <c r="H72" s="728" t="s">
        <v>550</v>
      </c>
      <c r="I72" s="728"/>
      <c r="J72" s="728"/>
      <c r="K72" s="728"/>
      <c r="L72" s="728"/>
      <c r="M72" s="728"/>
      <c r="N72" s="728"/>
      <c r="O72" s="728"/>
      <c r="P72" s="728"/>
      <c r="Q72" s="728"/>
      <c r="R72" s="728"/>
      <c r="S72" s="728"/>
      <c r="T72" s="728"/>
    </row>
    <row r="73" spans="1:20" s="237" customFormat="1" ht="33.75" customHeight="1">
      <c r="A73" s="895" t="s">
        <v>852</v>
      </c>
      <c r="B73" s="895"/>
      <c r="C73" s="895"/>
      <c r="D73" s="895"/>
      <c r="E73" s="896">
        <v>5810</v>
      </c>
      <c r="F73" s="896"/>
      <c r="G73" s="177"/>
      <c r="H73" s="728" t="s">
        <v>550</v>
      </c>
      <c r="I73" s="728"/>
      <c r="J73" s="728"/>
      <c r="K73" s="728"/>
      <c r="L73" s="728"/>
      <c r="M73" s="728"/>
      <c r="N73" s="728"/>
      <c r="O73" s="728"/>
      <c r="P73" s="728"/>
      <c r="Q73" s="728"/>
      <c r="R73" s="728"/>
      <c r="S73" s="728"/>
      <c r="T73" s="728"/>
    </row>
    <row r="74" spans="1:20" s="237" customFormat="1" ht="33.75" customHeight="1">
      <c r="A74" s="895" t="s">
        <v>853</v>
      </c>
      <c r="B74" s="895"/>
      <c r="C74" s="895"/>
      <c r="D74" s="895"/>
      <c r="E74" s="896">
        <v>4</v>
      </c>
      <c r="F74" s="896"/>
      <c r="G74" s="177"/>
      <c r="H74" s="728" t="s">
        <v>854</v>
      </c>
      <c r="I74" s="728"/>
      <c r="J74" s="728"/>
      <c r="K74" s="728"/>
      <c r="L74" s="728"/>
      <c r="M74" s="728"/>
      <c r="N74" s="728"/>
      <c r="O74" s="728"/>
      <c r="P74" s="728"/>
      <c r="Q74" s="728"/>
      <c r="R74" s="728"/>
      <c r="S74" s="728"/>
      <c r="T74" s="728"/>
    </row>
    <row r="75" spans="1:20" s="237" customFormat="1" ht="33.75" customHeight="1">
      <c r="A75" s="895" t="s">
        <v>855</v>
      </c>
      <c r="B75" s="895"/>
      <c r="C75" s="895"/>
      <c r="D75" s="895"/>
      <c r="E75" s="896">
        <v>3</v>
      </c>
      <c r="F75" s="896"/>
      <c r="G75" s="177"/>
      <c r="H75" s="728" t="s">
        <v>856</v>
      </c>
      <c r="I75" s="728"/>
      <c r="J75" s="728"/>
      <c r="K75" s="728"/>
      <c r="L75" s="728"/>
      <c r="M75" s="728"/>
      <c r="N75" s="728"/>
      <c r="O75" s="728"/>
      <c r="P75" s="728"/>
      <c r="Q75" s="728"/>
      <c r="R75" s="728"/>
      <c r="S75" s="728"/>
      <c r="T75" s="728"/>
    </row>
    <row r="76" spans="1:20" s="237" customFormat="1" ht="33.75" customHeight="1">
      <c r="A76" s="895" t="s">
        <v>857</v>
      </c>
      <c r="B76" s="895"/>
      <c r="C76" s="895"/>
      <c r="D76" s="895"/>
      <c r="E76" s="896">
        <v>0.501</v>
      </c>
      <c r="F76" s="896"/>
      <c r="G76" s="177"/>
      <c r="H76" s="728" t="s">
        <v>858</v>
      </c>
      <c r="I76" s="728"/>
      <c r="J76" s="728"/>
      <c r="K76" s="728"/>
      <c r="L76" s="728"/>
      <c r="M76" s="728"/>
      <c r="N76" s="728"/>
      <c r="O76" s="728"/>
      <c r="P76" s="728"/>
      <c r="Q76" s="728"/>
      <c r="R76" s="728"/>
      <c r="S76" s="728"/>
      <c r="T76" s="728"/>
    </row>
    <row r="77" spans="1:20" s="237" customFormat="1" ht="33.75" customHeight="1">
      <c r="A77" s="895" t="s">
        <v>859</v>
      </c>
      <c r="B77" s="895"/>
      <c r="C77" s="895"/>
      <c r="D77" s="895"/>
      <c r="E77" s="896" t="s">
        <v>860</v>
      </c>
      <c r="F77" s="896"/>
      <c r="G77" s="177" t="s">
        <v>845</v>
      </c>
      <c r="H77" s="728" t="s">
        <v>861</v>
      </c>
      <c r="I77" s="728"/>
      <c r="J77" s="728"/>
      <c r="K77" s="728"/>
      <c r="L77" s="728"/>
      <c r="M77" s="728"/>
      <c r="N77" s="728"/>
      <c r="O77" s="728"/>
      <c r="P77" s="728"/>
      <c r="Q77" s="728"/>
      <c r="R77" s="728"/>
      <c r="S77" s="728"/>
      <c r="T77" s="728"/>
    </row>
    <row r="78" spans="1:20" s="237" customFormat="1" ht="33.75" customHeight="1">
      <c r="A78" s="895" t="s">
        <v>862</v>
      </c>
      <c r="B78" s="895"/>
      <c r="C78" s="895"/>
      <c r="D78" s="895"/>
      <c r="E78" s="896" t="s">
        <v>863</v>
      </c>
      <c r="F78" s="896"/>
      <c r="G78" s="177" t="s">
        <v>845</v>
      </c>
      <c r="H78" s="728" t="s">
        <v>861</v>
      </c>
      <c r="I78" s="728"/>
      <c r="J78" s="728"/>
      <c r="K78" s="728"/>
      <c r="L78" s="728"/>
      <c r="M78" s="728"/>
      <c r="N78" s="728"/>
      <c r="O78" s="728"/>
      <c r="P78" s="728"/>
      <c r="Q78" s="728"/>
      <c r="R78" s="728"/>
      <c r="S78" s="728"/>
      <c r="T78" s="728"/>
    </row>
  </sheetData>
  <autoFilter ref="A11:AD62" xr:uid="{00000000-0009-0000-0000-00001B000000}"/>
  <mergeCells count="186">
    <mergeCell ref="F27:Q27"/>
    <mergeCell ref="F11:Q11"/>
    <mergeCell ref="V11:AA11"/>
    <mergeCell ref="Y12:AA12"/>
    <mergeCell ref="F13:Q13"/>
    <mergeCell ref="F14:Q14"/>
    <mergeCell ref="F15:Q15"/>
    <mergeCell ref="F16:Q16"/>
    <mergeCell ref="F17:Q17"/>
    <mergeCell ref="F18:Q18"/>
    <mergeCell ref="R11:R12"/>
    <mergeCell ref="S11:S12"/>
    <mergeCell ref="S13:S15"/>
    <mergeCell ref="S16:S18"/>
    <mergeCell ref="T11:T12"/>
    <mergeCell ref="T13:T15"/>
    <mergeCell ref="T16:T18"/>
    <mergeCell ref="V12:V14"/>
    <mergeCell ref="W12:W14"/>
    <mergeCell ref="X12:X14"/>
    <mergeCell ref="F42:Q42"/>
    <mergeCell ref="F43:Q43"/>
    <mergeCell ref="F44:Q44"/>
    <mergeCell ref="F45:Q45"/>
    <mergeCell ref="F28:Q28"/>
    <mergeCell ref="F29:Q29"/>
    <mergeCell ref="F30:Q30"/>
    <mergeCell ref="F31:Q31"/>
    <mergeCell ref="F32:Q32"/>
    <mergeCell ref="F33:Q33"/>
    <mergeCell ref="F34:Q34"/>
    <mergeCell ref="F35:Q35"/>
    <mergeCell ref="F36:Q36"/>
    <mergeCell ref="F46:Q46"/>
    <mergeCell ref="F47:Q47"/>
    <mergeCell ref="F48:Q48"/>
    <mergeCell ref="F49:Q49"/>
    <mergeCell ref="F50:Q50"/>
    <mergeCell ref="F51:Q51"/>
    <mergeCell ref="F52:Q52"/>
    <mergeCell ref="F53:Q53"/>
    <mergeCell ref="F54:Q54"/>
    <mergeCell ref="F55:Q55"/>
    <mergeCell ref="F56:Q56"/>
    <mergeCell ref="F57:Q57"/>
    <mergeCell ref="F58:Q58"/>
    <mergeCell ref="F59:Q59"/>
    <mergeCell ref="A60:S60"/>
    <mergeCell ref="A62:T62"/>
    <mergeCell ref="A64:D64"/>
    <mergeCell ref="E64:T64"/>
    <mergeCell ref="S57:S59"/>
    <mergeCell ref="T57:T59"/>
    <mergeCell ref="A65:D65"/>
    <mergeCell ref="E65:T65"/>
    <mergeCell ref="A66:D66"/>
    <mergeCell ref="E66:F66"/>
    <mergeCell ref="H66:T66"/>
    <mergeCell ref="A67:D67"/>
    <mergeCell ref="E67:F67"/>
    <mergeCell ref="H67:T67"/>
    <mergeCell ref="A68:D68"/>
    <mergeCell ref="E68:F68"/>
    <mergeCell ref="H68:T68"/>
    <mergeCell ref="A69:D69"/>
    <mergeCell ref="E69:F69"/>
    <mergeCell ref="H69:T69"/>
    <mergeCell ref="A70:D70"/>
    <mergeCell ref="E70:F70"/>
    <mergeCell ref="H70:T70"/>
    <mergeCell ref="A71:D71"/>
    <mergeCell ref="E71:F71"/>
    <mergeCell ref="H71:T71"/>
    <mergeCell ref="A72:D72"/>
    <mergeCell ref="E72:F72"/>
    <mergeCell ref="H72:T72"/>
    <mergeCell ref="A73:D73"/>
    <mergeCell ref="E73:F73"/>
    <mergeCell ref="H73:T73"/>
    <mergeCell ref="A74:D74"/>
    <mergeCell ref="E74:F74"/>
    <mergeCell ref="H74:T74"/>
    <mergeCell ref="A75:D75"/>
    <mergeCell ref="E75:F75"/>
    <mergeCell ref="H75:T75"/>
    <mergeCell ref="A76:D76"/>
    <mergeCell ref="E76:F76"/>
    <mergeCell ref="H76:T76"/>
    <mergeCell ref="A77:D77"/>
    <mergeCell ref="E77:F77"/>
    <mergeCell ref="H77:T77"/>
    <mergeCell ref="A78:D78"/>
    <mergeCell ref="E78:F78"/>
    <mergeCell ref="H78:T78"/>
    <mergeCell ref="A11:A12"/>
    <mergeCell ref="A13:A15"/>
    <mergeCell ref="A16:A18"/>
    <mergeCell ref="A19:A21"/>
    <mergeCell ref="A22:A29"/>
    <mergeCell ref="A30:A35"/>
    <mergeCell ref="A36:A38"/>
    <mergeCell ref="A39:A41"/>
    <mergeCell ref="A42:A44"/>
    <mergeCell ref="A45:A47"/>
    <mergeCell ref="A48:A53"/>
    <mergeCell ref="A54:A56"/>
    <mergeCell ref="A57:A59"/>
    <mergeCell ref="B11:B12"/>
    <mergeCell ref="B13:B15"/>
    <mergeCell ref="B16:B18"/>
    <mergeCell ref="B19:B21"/>
    <mergeCell ref="B22:B29"/>
    <mergeCell ref="B30:B35"/>
    <mergeCell ref="B36:B38"/>
    <mergeCell ref="B39:B41"/>
    <mergeCell ref="B42:B44"/>
    <mergeCell ref="B45:B47"/>
    <mergeCell ref="B48:B53"/>
    <mergeCell ref="B54:B56"/>
    <mergeCell ref="B57:B59"/>
    <mergeCell ref="C11:C12"/>
    <mergeCell ref="C13:C15"/>
    <mergeCell ref="C16:C18"/>
    <mergeCell ref="C19:C21"/>
    <mergeCell ref="C22:C29"/>
    <mergeCell ref="C30:C35"/>
    <mergeCell ref="C36:C38"/>
    <mergeCell ref="C39:C41"/>
    <mergeCell ref="C42:C44"/>
    <mergeCell ref="C45:C47"/>
    <mergeCell ref="C48:C53"/>
    <mergeCell ref="C54:C56"/>
    <mergeCell ref="C57:C59"/>
    <mergeCell ref="D42:D43"/>
    <mergeCell ref="D45:D46"/>
    <mergeCell ref="D48:D49"/>
    <mergeCell ref="D50:D51"/>
    <mergeCell ref="D52:D53"/>
    <mergeCell ref="D54:D55"/>
    <mergeCell ref="D57:D58"/>
    <mergeCell ref="D13:D14"/>
    <mergeCell ref="D16:D17"/>
    <mergeCell ref="D19:D20"/>
    <mergeCell ref="D22:D23"/>
    <mergeCell ref="D24:D26"/>
    <mergeCell ref="D27:D29"/>
    <mergeCell ref="D30:D31"/>
    <mergeCell ref="D32:D33"/>
    <mergeCell ref="D34:D35"/>
    <mergeCell ref="T42:T44"/>
    <mergeCell ref="T45:T47"/>
    <mergeCell ref="T48:T53"/>
    <mergeCell ref="T54:T56"/>
    <mergeCell ref="S19:S21"/>
    <mergeCell ref="S22:S29"/>
    <mergeCell ref="S30:S35"/>
    <mergeCell ref="S36:S38"/>
    <mergeCell ref="S39:S41"/>
    <mergeCell ref="S42:S44"/>
    <mergeCell ref="S45:S47"/>
    <mergeCell ref="S48:S53"/>
    <mergeCell ref="S54:S56"/>
    <mergeCell ref="C1:R3"/>
    <mergeCell ref="A1:B3"/>
    <mergeCell ref="S1:T3"/>
    <mergeCell ref="D11:E12"/>
    <mergeCell ref="T19:T21"/>
    <mergeCell ref="T22:T29"/>
    <mergeCell ref="T30:T35"/>
    <mergeCell ref="T36:T38"/>
    <mergeCell ref="T39:T41"/>
    <mergeCell ref="D36:D37"/>
    <mergeCell ref="D39:D40"/>
    <mergeCell ref="F37:Q37"/>
    <mergeCell ref="F38:Q38"/>
    <mergeCell ref="F39:Q39"/>
    <mergeCell ref="F40:Q40"/>
    <mergeCell ref="F41:Q41"/>
    <mergeCell ref="F19:Q19"/>
    <mergeCell ref="F20:Q20"/>
    <mergeCell ref="F21:Q21"/>
    <mergeCell ref="F22:Q22"/>
    <mergeCell ref="F23:Q23"/>
    <mergeCell ref="F24:Q24"/>
    <mergeCell ref="F25:Q25"/>
    <mergeCell ref="F26:Q26"/>
  </mergeCells>
  <pageMargins left="0.70866141732283505" right="0.70866141732283505" top="0.74803149606299202" bottom="0.74803149606299202" header="0.31496062992126" footer="0.31496062992126"/>
  <pageSetup paperSize="9" scale="29" fitToHeight="0"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0"/>
    <pageSetUpPr fitToPage="1"/>
  </sheetPr>
  <dimension ref="A1:Q63"/>
  <sheetViews>
    <sheetView topLeftCell="A47" zoomScale="60" zoomScaleNormal="60" workbookViewId="0">
      <selection activeCell="A11" sqref="A11"/>
    </sheetView>
  </sheetViews>
  <sheetFormatPr defaultColWidth="9.140625" defaultRowHeight="14.25"/>
  <cols>
    <col min="1" max="1" width="18.7109375" style="115" customWidth="1"/>
    <col min="2" max="2" width="15.28515625" style="57" customWidth="1"/>
    <col min="3" max="3" width="13.28515625" style="57" customWidth="1"/>
    <col min="4" max="4" width="16.85546875" style="57" customWidth="1"/>
    <col min="5" max="5" width="16.140625" style="57" customWidth="1"/>
    <col min="6" max="6" width="17.28515625" style="57" customWidth="1"/>
    <col min="7" max="7" width="11.7109375" style="57" customWidth="1"/>
    <col min="8" max="8" width="14.28515625" style="57" customWidth="1"/>
    <col min="9" max="9" width="18" style="57" customWidth="1"/>
    <col min="10" max="10" width="12.28515625" style="57" customWidth="1"/>
    <col min="11" max="11" width="16.5703125" style="57" customWidth="1"/>
    <col min="12" max="12" width="22.140625" style="57" customWidth="1"/>
    <col min="13" max="13" width="25.140625" style="57" customWidth="1"/>
    <col min="14" max="14" width="18.7109375" style="57" customWidth="1"/>
    <col min="15" max="15" width="24.28515625" style="57" customWidth="1"/>
    <col min="16" max="16" width="9.140625" style="57"/>
    <col min="17" max="17" width="15.5703125" style="57" customWidth="1"/>
    <col min="18" max="16384" width="9.140625" style="57"/>
  </cols>
  <sheetData>
    <row r="1" spans="1:15" ht="25.15" customHeight="1">
      <c r="A1" s="659"/>
      <c r="B1" s="659"/>
      <c r="C1" s="661" t="s">
        <v>864</v>
      </c>
      <c r="D1" s="662"/>
      <c r="E1" s="662"/>
      <c r="F1" s="662"/>
      <c r="G1" s="662"/>
      <c r="H1" s="662"/>
      <c r="I1" s="662"/>
      <c r="J1" s="662"/>
      <c r="K1" s="662"/>
      <c r="L1" s="662"/>
      <c r="M1" s="663"/>
      <c r="N1" s="660" t="s">
        <v>1122</v>
      </c>
      <c r="O1" s="660"/>
    </row>
    <row r="2" spans="1:15" ht="25.15" customHeight="1">
      <c r="A2" s="659"/>
      <c r="B2" s="659"/>
      <c r="C2" s="664"/>
      <c r="D2" s="665"/>
      <c r="E2" s="665"/>
      <c r="F2" s="665"/>
      <c r="G2" s="665"/>
      <c r="H2" s="665"/>
      <c r="I2" s="665"/>
      <c r="J2" s="665"/>
      <c r="K2" s="665"/>
      <c r="L2" s="665"/>
      <c r="M2" s="666"/>
      <c r="N2" s="660"/>
      <c r="O2" s="660"/>
    </row>
    <row r="3" spans="1:15" ht="25.15" customHeight="1">
      <c r="A3" s="659"/>
      <c r="B3" s="659"/>
      <c r="C3" s="664"/>
      <c r="D3" s="665"/>
      <c r="E3" s="665"/>
      <c r="F3" s="665"/>
      <c r="G3" s="665"/>
      <c r="H3" s="665"/>
      <c r="I3" s="665"/>
      <c r="J3" s="665"/>
      <c r="K3" s="665"/>
      <c r="L3" s="665"/>
      <c r="M3" s="666"/>
      <c r="N3" s="660"/>
      <c r="O3" s="660"/>
    </row>
    <row r="4" spans="1:15" ht="25.15" customHeight="1">
      <c r="A4" s="659"/>
      <c r="B4" s="659"/>
      <c r="C4" s="667"/>
      <c r="D4" s="668"/>
      <c r="E4" s="668"/>
      <c r="F4" s="668"/>
      <c r="G4" s="668"/>
      <c r="H4" s="668"/>
      <c r="I4" s="668"/>
      <c r="J4" s="668"/>
      <c r="K4" s="668"/>
      <c r="L4" s="668"/>
      <c r="M4" s="669"/>
      <c r="N4" s="660"/>
      <c r="O4" s="660"/>
    </row>
    <row r="5" spans="1:15" s="114" customFormat="1" ht="34.15" customHeight="1">
      <c r="A5" s="117" t="s">
        <v>865</v>
      </c>
      <c r="B5" s="118"/>
      <c r="C5" s="108"/>
      <c r="D5" s="108"/>
      <c r="E5" s="108"/>
      <c r="F5" s="108"/>
      <c r="G5" s="108"/>
      <c r="H5" s="108"/>
      <c r="I5" s="108"/>
      <c r="J5" s="108"/>
      <c r="K5" s="172"/>
      <c r="O5" s="205"/>
    </row>
    <row r="6" spans="1:15" s="114" customFormat="1" ht="27.6" customHeight="1">
      <c r="A6" s="679" t="s">
        <v>866</v>
      </c>
      <c r="B6" s="680"/>
      <c r="C6" s="680"/>
      <c r="D6" s="680"/>
      <c r="E6" s="680"/>
      <c r="F6" s="680"/>
      <c r="G6" s="680"/>
      <c r="H6" s="680"/>
      <c r="I6" s="680"/>
      <c r="J6" s="680"/>
      <c r="K6" s="172"/>
      <c r="O6" s="205"/>
    </row>
    <row r="7" spans="1:15" s="58" customFormat="1" ht="21.6" customHeight="1">
      <c r="A7" s="117" t="s">
        <v>867</v>
      </c>
      <c r="B7" s="118"/>
      <c r="C7" s="116"/>
      <c r="D7" s="116"/>
      <c r="E7" s="116"/>
      <c r="F7" s="116"/>
      <c r="G7" s="116"/>
      <c r="H7" s="116"/>
      <c r="I7" s="116"/>
      <c r="J7" s="116"/>
      <c r="K7" s="172"/>
      <c r="L7" s="114"/>
      <c r="M7" s="114"/>
      <c r="N7" s="114"/>
      <c r="O7" s="205"/>
    </row>
    <row r="8" spans="1:15" s="58" customFormat="1" ht="25.15" customHeight="1">
      <c r="A8" s="117" t="s">
        <v>868</v>
      </c>
      <c r="B8" s="171"/>
      <c r="C8" s="172"/>
      <c r="D8" s="172"/>
      <c r="E8" s="172"/>
      <c r="F8" s="172"/>
      <c r="G8" s="172"/>
      <c r="H8" s="172"/>
      <c r="I8" s="172"/>
      <c r="J8" s="681"/>
      <c r="K8" s="681"/>
      <c r="L8" s="114"/>
      <c r="M8" s="114"/>
      <c r="N8" s="114"/>
      <c r="O8" s="205"/>
    </row>
    <row r="9" spans="1:15" s="58" customFormat="1" ht="25.9" customHeight="1">
      <c r="A9" s="117" t="s">
        <v>869</v>
      </c>
      <c r="B9" s="171"/>
      <c r="C9" s="172"/>
      <c r="D9" s="172"/>
      <c r="E9" s="172"/>
      <c r="F9" s="172"/>
      <c r="G9" s="172"/>
      <c r="H9" s="172"/>
      <c r="I9" s="172"/>
      <c r="J9" s="206"/>
      <c r="K9" s="206"/>
      <c r="L9" s="114"/>
      <c r="M9" s="114"/>
      <c r="N9" s="114"/>
      <c r="O9" s="205"/>
    </row>
    <row r="10" spans="1:15" s="18" customFormat="1" ht="6.6" customHeight="1">
      <c r="A10" s="117"/>
      <c r="B10" s="173"/>
      <c r="C10" s="23"/>
      <c r="D10" s="23"/>
      <c r="E10" s="23"/>
      <c r="F10" s="23"/>
      <c r="G10" s="23"/>
      <c r="H10" s="23"/>
      <c r="I10" s="23"/>
      <c r="J10" s="207"/>
      <c r="K10" s="207"/>
      <c r="L10" s="208"/>
      <c r="M10" s="208"/>
      <c r="N10" s="208"/>
      <c r="O10" s="209"/>
    </row>
    <row r="11" spans="1:15" ht="90.75" customHeight="1">
      <c r="A11" s="124" t="s">
        <v>761</v>
      </c>
      <c r="B11" s="28" t="s">
        <v>870</v>
      </c>
      <c r="C11" s="28" t="s">
        <v>871</v>
      </c>
      <c r="D11" s="28" t="s">
        <v>872</v>
      </c>
      <c r="E11" s="28" t="s">
        <v>873</v>
      </c>
      <c r="F11" s="28" t="s">
        <v>874</v>
      </c>
      <c r="G11" s="28" t="s">
        <v>875</v>
      </c>
      <c r="H11" s="28" t="s">
        <v>876</v>
      </c>
      <c r="I11" s="28" t="s">
        <v>877</v>
      </c>
      <c r="J11" s="28" t="s">
        <v>878</v>
      </c>
      <c r="K11" s="28" t="s">
        <v>879</v>
      </c>
      <c r="L11" s="28" t="s">
        <v>880</v>
      </c>
      <c r="M11" s="28" t="s">
        <v>1144</v>
      </c>
      <c r="N11" s="210"/>
      <c r="O11" s="211"/>
    </row>
    <row r="12" spans="1:15" ht="43.9" customHeight="1">
      <c r="A12" s="585" t="s">
        <v>510</v>
      </c>
      <c r="B12" s="585" t="s">
        <v>511</v>
      </c>
      <c r="C12" s="585" t="s">
        <v>575</v>
      </c>
      <c r="D12" s="585" t="s">
        <v>881</v>
      </c>
      <c r="E12" s="585" t="s">
        <v>882</v>
      </c>
      <c r="F12" s="585" t="s">
        <v>883</v>
      </c>
      <c r="G12" s="585" t="s">
        <v>516</v>
      </c>
      <c r="H12" s="585" t="s">
        <v>517</v>
      </c>
      <c r="I12" s="585" t="s">
        <v>884</v>
      </c>
      <c r="J12" s="585" t="s">
        <v>641</v>
      </c>
      <c r="K12" s="585" t="s">
        <v>885</v>
      </c>
      <c r="L12" s="585" t="s">
        <v>886</v>
      </c>
      <c r="M12" s="585" t="s">
        <v>886</v>
      </c>
      <c r="N12" s="212" t="s">
        <v>887</v>
      </c>
      <c r="O12" s="212" t="s">
        <v>888</v>
      </c>
    </row>
    <row r="13" spans="1:15" ht="42.75" customHeight="1">
      <c r="A13" s="33">
        <v>1</v>
      </c>
      <c r="B13" s="125">
        <f>+'[1]Giờ công 2024.'!$F$24</f>
        <v>137384</v>
      </c>
      <c r="C13" s="30">
        <v>40</v>
      </c>
      <c r="D13" s="174">
        <f>+C13/24</f>
        <v>1.6666666666666667</v>
      </c>
      <c r="E13" s="175">
        <f t="shared" ref="E13:E24" si="0">+B13*D13</f>
        <v>228973.33333333334</v>
      </c>
      <c r="F13" s="176">
        <f>+E13/1000</f>
        <v>228.97333333333333</v>
      </c>
      <c r="G13" s="177">
        <v>0.6</v>
      </c>
      <c r="H13" s="177">
        <v>0.5</v>
      </c>
      <c r="I13" s="176">
        <f>F13*G13*H13</f>
        <v>68.691999999999993</v>
      </c>
      <c r="J13" s="213">
        <v>27.9</v>
      </c>
      <c r="K13" s="214">
        <f>I13*J13/10^3</f>
        <v>1.9165067999999996</v>
      </c>
      <c r="L13" s="214">
        <v>4.3173739907400997E-2</v>
      </c>
      <c r="M13" s="214">
        <v>0.2065035690432</v>
      </c>
      <c r="N13" s="214">
        <f>+K13+L13+M13</f>
        <v>2.1661841089506009</v>
      </c>
      <c r="O13" s="214">
        <f>+L13+M13</f>
        <v>0.249677308950601</v>
      </c>
    </row>
    <row r="14" spans="1:15" ht="42.75" customHeight="1">
      <c r="A14" s="33">
        <v>2</v>
      </c>
      <c r="B14" s="125">
        <f>+'[1]Giờ công 2024.'!$I$24</f>
        <v>85904</v>
      </c>
      <c r="C14" s="30">
        <v>40</v>
      </c>
      <c r="D14" s="174">
        <f t="shared" ref="D14:D24" si="1">+C14/24</f>
        <v>1.6666666666666667</v>
      </c>
      <c r="E14" s="175">
        <f t="shared" si="0"/>
        <v>143173.33333333334</v>
      </c>
      <c r="F14" s="176">
        <f t="shared" ref="F14:F24" si="2">+E14/1000</f>
        <v>143.17333333333335</v>
      </c>
      <c r="G14" s="177">
        <v>0.6</v>
      </c>
      <c r="H14" s="177">
        <v>0.5</v>
      </c>
      <c r="I14" s="176">
        <f t="shared" ref="I14:I24" si="3">F14*G14*H14</f>
        <v>42.952000000000005</v>
      </c>
      <c r="J14" s="213">
        <v>27.9</v>
      </c>
      <c r="K14" s="214">
        <f t="shared" ref="K14:K24" si="4">I14*J14/10^3</f>
        <v>1.1983608000000001</v>
      </c>
      <c r="L14" s="214">
        <v>2.45416758402816E-2</v>
      </c>
      <c r="M14" s="214">
        <v>0.14504920372800001</v>
      </c>
      <c r="N14" s="214">
        <f t="shared" ref="N14:N24" si="5">+K14+L14+M14</f>
        <v>1.3679516795682818</v>
      </c>
      <c r="O14" s="214">
        <f t="shared" ref="O14:O24" si="6">+L14+M14</f>
        <v>0.16959087956828162</v>
      </c>
    </row>
    <row r="15" spans="1:15" ht="42.75" customHeight="1">
      <c r="A15" s="33">
        <v>3</v>
      </c>
      <c r="B15" s="125">
        <f>+'[1]Giờ công 2024.'!$L$24</f>
        <v>135868</v>
      </c>
      <c r="C15" s="30">
        <v>40</v>
      </c>
      <c r="D15" s="174">
        <f t="shared" si="1"/>
        <v>1.6666666666666667</v>
      </c>
      <c r="E15" s="175">
        <f t="shared" si="0"/>
        <v>226446.66666666669</v>
      </c>
      <c r="F15" s="176">
        <f t="shared" si="2"/>
        <v>226.44666666666669</v>
      </c>
      <c r="G15" s="177">
        <v>0.6</v>
      </c>
      <c r="H15" s="177">
        <v>0.5</v>
      </c>
      <c r="I15" s="176">
        <f t="shared" si="3"/>
        <v>67.933999999999997</v>
      </c>
      <c r="J15" s="213">
        <v>27.9</v>
      </c>
      <c r="K15" s="214">
        <f t="shared" si="4"/>
        <v>1.8953585999999998</v>
      </c>
      <c r="L15" s="214">
        <v>3.8815752619987202E-2</v>
      </c>
      <c r="M15" s="214">
        <v>0.14582202972479999</v>
      </c>
      <c r="N15" s="214">
        <f t="shared" si="5"/>
        <v>2.0799963823447869</v>
      </c>
      <c r="O15" s="214">
        <f t="shared" si="6"/>
        <v>0.1846377823447872</v>
      </c>
    </row>
    <row r="16" spans="1:15" ht="42.75" customHeight="1">
      <c r="A16" s="33">
        <v>4</v>
      </c>
      <c r="B16" s="125">
        <f>+'[1]Giờ công 2024.'!$O$24</f>
        <v>127516</v>
      </c>
      <c r="C16" s="30">
        <v>40</v>
      </c>
      <c r="D16" s="174">
        <f t="shared" si="1"/>
        <v>1.6666666666666667</v>
      </c>
      <c r="E16" s="175">
        <f t="shared" si="0"/>
        <v>212526.66666666669</v>
      </c>
      <c r="F16" s="176">
        <f t="shared" si="2"/>
        <v>212.5266666666667</v>
      </c>
      <c r="G16" s="177">
        <v>0.6</v>
      </c>
      <c r="H16" s="177">
        <v>0.5</v>
      </c>
      <c r="I16" s="176">
        <f t="shared" si="3"/>
        <v>63.75800000000001</v>
      </c>
      <c r="J16" s="213">
        <v>27.9</v>
      </c>
      <c r="K16" s="214">
        <f t="shared" si="4"/>
        <v>1.7788482000000001</v>
      </c>
      <c r="L16" s="214">
        <v>3.6429692871686403E-2</v>
      </c>
      <c r="M16" s="214">
        <v>0.15685392602879999</v>
      </c>
      <c r="N16" s="214">
        <f t="shared" si="5"/>
        <v>1.9721318189004864</v>
      </c>
      <c r="O16" s="214">
        <f t="shared" si="6"/>
        <v>0.1932836189004864</v>
      </c>
    </row>
    <row r="17" spans="1:17" ht="42.75" customHeight="1">
      <c r="A17" s="33">
        <v>5</v>
      </c>
      <c r="B17" s="125">
        <f>+'[1]Giờ công 2024.'!$R$24</f>
        <v>151236</v>
      </c>
      <c r="C17" s="30">
        <v>40</v>
      </c>
      <c r="D17" s="174">
        <f t="shared" si="1"/>
        <v>1.6666666666666667</v>
      </c>
      <c r="E17" s="175">
        <f t="shared" si="0"/>
        <v>252060</v>
      </c>
      <c r="F17" s="176">
        <f t="shared" si="2"/>
        <v>252.06</v>
      </c>
      <c r="G17" s="177">
        <v>0.6</v>
      </c>
      <c r="H17" s="177">
        <v>0.5</v>
      </c>
      <c r="I17" s="176">
        <f t="shared" si="3"/>
        <v>75.617999999999995</v>
      </c>
      <c r="J17" s="213">
        <v>27.9</v>
      </c>
      <c r="K17" s="214">
        <f t="shared" si="4"/>
        <v>2.1097421999999999</v>
      </c>
      <c r="L17" s="214">
        <v>4.3206193976774401E-2</v>
      </c>
      <c r="M17" s="214">
        <v>0.18553455423359999</v>
      </c>
      <c r="N17" s="214">
        <f t="shared" si="5"/>
        <v>2.3384829482103742</v>
      </c>
      <c r="O17" s="214">
        <f t="shared" si="6"/>
        <v>0.22874074821037438</v>
      </c>
      <c r="P17" s="215"/>
      <c r="Q17" s="215"/>
    </row>
    <row r="18" spans="1:17" ht="42.75" customHeight="1">
      <c r="A18" s="33">
        <v>6</v>
      </c>
      <c r="B18" s="125">
        <f>+'[1]Giờ công 2024.'!$U$24</f>
        <v>124548</v>
      </c>
      <c r="C18" s="30">
        <v>40</v>
      </c>
      <c r="D18" s="174">
        <f t="shared" si="1"/>
        <v>1.6666666666666667</v>
      </c>
      <c r="E18" s="175">
        <f t="shared" si="0"/>
        <v>207580</v>
      </c>
      <c r="F18" s="176">
        <f t="shared" si="2"/>
        <v>207.58</v>
      </c>
      <c r="G18" s="177">
        <v>0.6</v>
      </c>
      <c r="H18" s="177">
        <v>0.5</v>
      </c>
      <c r="I18" s="176">
        <f t="shared" si="3"/>
        <v>62.274000000000001</v>
      </c>
      <c r="J18" s="213">
        <v>27.9</v>
      </c>
      <c r="K18" s="214">
        <f t="shared" si="4"/>
        <v>1.7374446000000001</v>
      </c>
      <c r="L18" s="214">
        <v>3.5581773171859198E-2</v>
      </c>
      <c r="M18" s="214">
        <v>0.1841698894464</v>
      </c>
      <c r="N18" s="214">
        <f t="shared" si="5"/>
        <v>1.9571962626182593</v>
      </c>
      <c r="O18" s="214">
        <f t="shared" si="6"/>
        <v>0.21975166261825921</v>
      </c>
      <c r="P18" s="215"/>
      <c r="Q18" s="215"/>
    </row>
    <row r="19" spans="1:17" ht="42.75" customHeight="1">
      <c r="A19" s="33">
        <v>7</v>
      </c>
      <c r="B19" s="125">
        <f>+'[1]Giờ công 2024.'!$X$24</f>
        <v>161844</v>
      </c>
      <c r="C19" s="30">
        <v>40</v>
      </c>
      <c r="D19" s="174">
        <f t="shared" si="1"/>
        <v>1.6666666666666667</v>
      </c>
      <c r="E19" s="175">
        <f t="shared" si="0"/>
        <v>269740</v>
      </c>
      <c r="F19" s="176">
        <f t="shared" si="2"/>
        <v>269.74</v>
      </c>
      <c r="G19" s="177">
        <v>0.6</v>
      </c>
      <c r="H19" s="177">
        <v>0.5</v>
      </c>
      <c r="I19" s="176">
        <f t="shared" si="3"/>
        <v>80.921999999999997</v>
      </c>
      <c r="J19" s="213">
        <v>27.9</v>
      </c>
      <c r="K19" s="214">
        <f t="shared" si="4"/>
        <v>2.2577237999999999</v>
      </c>
      <c r="L19" s="214">
        <v>4.62367641168576E-2</v>
      </c>
      <c r="M19" s="214">
        <v>0.35010487511999999</v>
      </c>
      <c r="N19" s="214">
        <f t="shared" si="5"/>
        <v>2.6540654392368577</v>
      </c>
      <c r="O19" s="214">
        <f t="shared" si="6"/>
        <v>0.39634163923685761</v>
      </c>
      <c r="P19" s="215"/>
      <c r="Q19" s="215"/>
    </row>
    <row r="20" spans="1:17" ht="42.75" customHeight="1">
      <c r="A20" s="33">
        <v>8</v>
      </c>
      <c r="B20" s="125">
        <f>+'[1]Giờ công 2024.'!$AA$24</f>
        <v>155360</v>
      </c>
      <c r="C20" s="30">
        <v>40</v>
      </c>
      <c r="D20" s="174">
        <f t="shared" si="1"/>
        <v>1.6666666666666667</v>
      </c>
      <c r="E20" s="175">
        <f t="shared" si="0"/>
        <v>258933.33333333334</v>
      </c>
      <c r="F20" s="176">
        <f t="shared" si="2"/>
        <v>258.93333333333334</v>
      </c>
      <c r="G20" s="177">
        <v>0.6</v>
      </c>
      <c r="H20" s="177">
        <v>0.5</v>
      </c>
      <c r="I20" s="176">
        <f t="shared" si="3"/>
        <v>77.679999999999993</v>
      </c>
      <c r="J20" s="213">
        <v>27.9</v>
      </c>
      <c r="K20" s="214">
        <f t="shared" si="4"/>
        <v>2.1672719999999996</v>
      </c>
      <c r="L20" s="214">
        <v>4.4384368114943999E-2</v>
      </c>
      <c r="M20" s="214">
        <v>0.35076095340000002</v>
      </c>
      <c r="N20" s="214">
        <f t="shared" si="5"/>
        <v>2.5624173215149435</v>
      </c>
      <c r="O20" s="214">
        <f t="shared" si="6"/>
        <v>0.39514532151494403</v>
      </c>
      <c r="P20" s="215"/>
      <c r="Q20" s="215"/>
    </row>
    <row r="21" spans="1:17" ht="42.75" customHeight="1">
      <c r="A21" s="33">
        <v>9</v>
      </c>
      <c r="B21" s="125">
        <f>+'[1]Giờ công 2024.'!$AD$24</f>
        <v>131428</v>
      </c>
      <c r="C21" s="30">
        <v>40</v>
      </c>
      <c r="D21" s="174">
        <f t="shared" si="1"/>
        <v>1.6666666666666667</v>
      </c>
      <c r="E21" s="175">
        <f t="shared" si="0"/>
        <v>219046.66666666669</v>
      </c>
      <c r="F21" s="176">
        <f t="shared" si="2"/>
        <v>219.04666666666668</v>
      </c>
      <c r="G21" s="177">
        <v>0.6</v>
      </c>
      <c r="H21" s="177">
        <v>0.5</v>
      </c>
      <c r="I21" s="176">
        <f t="shared" si="3"/>
        <v>65.713999999999999</v>
      </c>
      <c r="J21" s="213">
        <v>27.9</v>
      </c>
      <c r="K21" s="214">
        <f t="shared" si="4"/>
        <v>1.8334206</v>
      </c>
      <c r="L21" s="214">
        <v>3.75473013170112E-2</v>
      </c>
      <c r="M21" s="214">
        <v>0.34280971296000001</v>
      </c>
      <c r="N21" s="214">
        <f t="shared" si="5"/>
        <v>2.2137776142770109</v>
      </c>
      <c r="O21" s="214">
        <f t="shared" si="6"/>
        <v>0.38035701427701119</v>
      </c>
      <c r="P21" s="215"/>
      <c r="Q21" s="215"/>
    </row>
    <row r="22" spans="1:17" ht="42.75" customHeight="1">
      <c r="A22" s="33">
        <v>10</v>
      </c>
      <c r="B22" s="125">
        <f>+'[1]Giờ công 2024.'!$AG$24</f>
        <v>156484</v>
      </c>
      <c r="C22" s="30">
        <v>40</v>
      </c>
      <c r="D22" s="174">
        <f t="shared" si="1"/>
        <v>1.6666666666666667</v>
      </c>
      <c r="E22" s="175">
        <f t="shared" si="0"/>
        <v>260806.66666666669</v>
      </c>
      <c r="F22" s="176">
        <f t="shared" si="2"/>
        <v>260.80666666666667</v>
      </c>
      <c r="G22" s="177">
        <v>0.6</v>
      </c>
      <c r="H22" s="177">
        <v>0.5</v>
      </c>
      <c r="I22" s="176">
        <f t="shared" si="3"/>
        <v>78.242000000000004</v>
      </c>
      <c r="J22" s="213">
        <v>27.9</v>
      </c>
      <c r="K22" s="214">
        <f t="shared" si="4"/>
        <v>2.1829517999999997</v>
      </c>
      <c r="L22" s="214">
        <v>4.4705480561913598E-2</v>
      </c>
      <c r="M22" s="214">
        <v>0.26287189500000002</v>
      </c>
      <c r="N22" s="214">
        <f t="shared" si="5"/>
        <v>2.4905291755619134</v>
      </c>
      <c r="O22" s="214">
        <f t="shared" si="6"/>
        <v>0.30757737556191361</v>
      </c>
      <c r="P22" s="215"/>
      <c r="Q22" s="215"/>
    </row>
    <row r="23" spans="1:17" ht="42.75" customHeight="1">
      <c r="A23" s="33">
        <v>11</v>
      </c>
      <c r="B23" s="125">
        <f>+'[1]Giờ công 2024.'!$AJ$24</f>
        <v>147564</v>
      </c>
      <c r="C23" s="30">
        <v>40</v>
      </c>
      <c r="D23" s="174">
        <f t="shared" si="1"/>
        <v>1.6666666666666667</v>
      </c>
      <c r="E23" s="175">
        <f t="shared" si="0"/>
        <v>245940</v>
      </c>
      <c r="F23" s="176">
        <f t="shared" si="2"/>
        <v>245.94</v>
      </c>
      <c r="G23" s="177">
        <v>0.6</v>
      </c>
      <c r="H23" s="177">
        <v>0.5</v>
      </c>
      <c r="I23" s="176">
        <f t="shared" si="3"/>
        <v>73.781999999999996</v>
      </c>
      <c r="J23" s="213">
        <v>27.9</v>
      </c>
      <c r="K23" s="214">
        <f t="shared" si="4"/>
        <v>2.0585177999999997</v>
      </c>
      <c r="L23" s="214">
        <v>4.2157150466745598E-2</v>
      </c>
      <c r="M23" s="214">
        <v>0.27744883452000002</v>
      </c>
      <c r="N23" s="214">
        <f t="shared" si="5"/>
        <v>2.3781237849867454</v>
      </c>
      <c r="O23" s="214">
        <f t="shared" si="6"/>
        <v>0.31960598498674564</v>
      </c>
      <c r="P23" s="215"/>
      <c r="Q23" s="215"/>
    </row>
    <row r="24" spans="1:17" ht="42.75" customHeight="1">
      <c r="A24" s="33">
        <v>12</v>
      </c>
      <c r="B24" s="125">
        <f>+'[1]Giờ công 2024.'!$AM$24</f>
        <v>151644</v>
      </c>
      <c r="C24" s="30">
        <v>40</v>
      </c>
      <c r="D24" s="174">
        <f t="shared" si="1"/>
        <v>1.6666666666666667</v>
      </c>
      <c r="E24" s="175">
        <f t="shared" si="0"/>
        <v>252740</v>
      </c>
      <c r="F24" s="176">
        <f t="shared" si="2"/>
        <v>252.74</v>
      </c>
      <c r="G24" s="177">
        <v>0.6</v>
      </c>
      <c r="H24" s="177">
        <v>0.5</v>
      </c>
      <c r="I24" s="176">
        <f t="shared" si="3"/>
        <v>75.822000000000003</v>
      </c>
      <c r="J24" s="213">
        <v>27.9</v>
      </c>
      <c r="K24" s="214">
        <f t="shared" si="4"/>
        <v>2.1154337999999999</v>
      </c>
      <c r="L24" s="214">
        <v>4.3322754366777599E-2</v>
      </c>
      <c r="M24" s="214">
        <v>0.26494743131999998</v>
      </c>
      <c r="N24" s="214">
        <f t="shared" si="5"/>
        <v>2.4237039856867777</v>
      </c>
      <c r="O24" s="214">
        <f t="shared" si="6"/>
        <v>0.30827018568677755</v>
      </c>
      <c r="P24" s="215"/>
      <c r="Q24" s="215"/>
    </row>
    <row r="25" spans="1:17" s="170" customFormat="1" ht="47.25" customHeight="1">
      <c r="A25" s="124" t="s">
        <v>469</v>
      </c>
      <c r="B25" s="178">
        <f>SUM(B13:B24)</f>
        <v>1666780</v>
      </c>
      <c r="C25" s="28"/>
      <c r="D25" s="28"/>
      <c r="E25" s="179"/>
      <c r="F25" s="180"/>
      <c r="G25" s="46"/>
      <c r="H25" s="46"/>
      <c r="I25" s="180">
        <f>SUM(I13:I24)</f>
        <v>833.38999999999987</v>
      </c>
      <c r="J25" s="216"/>
      <c r="K25" s="217">
        <f>SUM(K13:K24)</f>
        <v>23.251581000000002</v>
      </c>
      <c r="L25" s="217">
        <f>SUM(L13:L24)</f>
        <v>0.4801026473322394</v>
      </c>
      <c r="M25" s="217">
        <f>SUM(M13:M24)</f>
        <v>2.8728768745247999</v>
      </c>
      <c r="N25" s="217">
        <f>SUM(N13:N24)</f>
        <v>26.604560521857035</v>
      </c>
      <c r="O25" s="217">
        <f>SUM(O13:O24)</f>
        <v>3.3529795218570397</v>
      </c>
      <c r="Q25" s="233"/>
    </row>
    <row r="26" spans="1:17" s="170" customFormat="1" ht="12.6" customHeight="1">
      <c r="A26" s="181"/>
      <c r="B26" s="182"/>
      <c r="C26" s="183"/>
      <c r="D26" s="183"/>
      <c r="E26" s="184"/>
      <c r="F26" s="185"/>
      <c r="G26" s="186"/>
      <c r="H26" s="186"/>
      <c r="I26" s="185"/>
      <c r="J26" s="218"/>
      <c r="K26" s="185"/>
      <c r="L26" s="185"/>
      <c r="M26" s="219"/>
      <c r="N26" s="219"/>
      <c r="O26" s="219"/>
      <c r="P26" s="219"/>
      <c r="Q26" s="219"/>
    </row>
    <row r="27" spans="1:17" s="58" customFormat="1" ht="21.6" customHeight="1">
      <c r="A27" s="118" t="s">
        <v>889</v>
      </c>
      <c r="B27" s="171"/>
      <c r="C27" s="172"/>
      <c r="D27" s="172"/>
      <c r="E27" s="172"/>
      <c r="F27" s="172"/>
      <c r="G27" s="172"/>
      <c r="H27" s="172"/>
      <c r="I27" s="220"/>
      <c r="J27" s="220"/>
      <c r="K27" s="220"/>
      <c r="L27" s="220"/>
      <c r="M27" s="172"/>
      <c r="N27" s="172"/>
      <c r="O27" s="172"/>
      <c r="P27" s="172"/>
      <c r="Q27" s="172"/>
    </row>
    <row r="28" spans="1:17" s="170" customFormat="1" ht="9" customHeight="1">
      <c r="A28" s="187"/>
      <c r="B28" s="188"/>
      <c r="C28" s="189"/>
      <c r="D28" s="189"/>
      <c r="E28" s="190"/>
      <c r="F28" s="191"/>
      <c r="G28" s="119"/>
      <c r="H28" s="119"/>
      <c r="I28" s="191"/>
      <c r="J28" s="221"/>
      <c r="K28" s="191"/>
      <c r="L28" s="191"/>
      <c r="M28" s="220"/>
      <c r="N28" s="220"/>
      <c r="O28" s="220"/>
      <c r="P28" s="220"/>
      <c r="Q28" s="220"/>
    </row>
    <row r="29" spans="1:17" s="170" customFormat="1" ht="129" customHeight="1">
      <c r="A29" s="673" t="s">
        <v>761</v>
      </c>
      <c r="B29" s="675" t="s">
        <v>870</v>
      </c>
      <c r="C29" s="677" t="s">
        <v>890</v>
      </c>
      <c r="D29" s="677" t="s">
        <v>891</v>
      </c>
      <c r="E29" s="192" t="s">
        <v>892</v>
      </c>
      <c r="F29" s="192" t="s">
        <v>893</v>
      </c>
      <c r="G29" s="192" t="s">
        <v>894</v>
      </c>
      <c r="H29" s="192" t="s">
        <v>895</v>
      </c>
      <c r="I29" s="192" t="s">
        <v>896</v>
      </c>
      <c r="J29" s="192" t="s">
        <v>897</v>
      </c>
      <c r="K29" s="192" t="s">
        <v>898</v>
      </c>
      <c r="L29" s="192" t="s">
        <v>899</v>
      </c>
      <c r="M29" s="192" t="s">
        <v>900</v>
      </c>
      <c r="N29" s="192" t="s">
        <v>901</v>
      </c>
      <c r="O29" s="192" t="s">
        <v>902</v>
      </c>
      <c r="P29" s="677" t="s">
        <v>903</v>
      </c>
      <c r="Q29" s="677" t="s">
        <v>886</v>
      </c>
    </row>
    <row r="30" spans="1:17" s="170" customFormat="1" ht="58.9" customHeight="1">
      <c r="A30" s="674"/>
      <c r="B30" s="676"/>
      <c r="C30" s="678"/>
      <c r="D30" s="678"/>
      <c r="E30" s="193" t="s">
        <v>904</v>
      </c>
      <c r="F30" s="193" t="s">
        <v>905</v>
      </c>
      <c r="G30" s="193" t="s">
        <v>906</v>
      </c>
      <c r="H30" s="193" t="s">
        <v>907</v>
      </c>
      <c r="I30" s="193" t="s">
        <v>908</v>
      </c>
      <c r="J30" s="193" t="s">
        <v>909</v>
      </c>
      <c r="K30" s="193" t="s">
        <v>910</v>
      </c>
      <c r="L30" s="193" t="s">
        <v>911</v>
      </c>
      <c r="M30" s="193" t="s">
        <v>912</v>
      </c>
      <c r="N30" s="193" t="s">
        <v>913</v>
      </c>
      <c r="O30" s="193" t="s">
        <v>914</v>
      </c>
      <c r="P30" s="678"/>
      <c r="Q30" s="678"/>
    </row>
    <row r="31" spans="1:17" s="170" customFormat="1" ht="58.9" customHeight="1">
      <c r="A31" s="585" t="s">
        <v>510</v>
      </c>
      <c r="B31" s="585" t="s">
        <v>511</v>
      </c>
      <c r="C31" s="585" t="s">
        <v>575</v>
      </c>
      <c r="D31" s="585" t="s">
        <v>881</v>
      </c>
      <c r="E31" s="585" t="s">
        <v>882</v>
      </c>
      <c r="F31" s="585" t="s">
        <v>915</v>
      </c>
      <c r="G31" s="585" t="s">
        <v>916</v>
      </c>
      <c r="H31" s="585" t="s">
        <v>517</v>
      </c>
      <c r="I31" s="585" t="s">
        <v>640</v>
      </c>
      <c r="J31" s="585" t="s">
        <v>917</v>
      </c>
      <c r="K31" s="585" t="s">
        <v>642</v>
      </c>
      <c r="L31" s="585" t="s">
        <v>918</v>
      </c>
      <c r="M31" s="585" t="s">
        <v>522</v>
      </c>
      <c r="N31" s="586" t="s">
        <v>643</v>
      </c>
      <c r="O31" s="586" t="s">
        <v>919</v>
      </c>
      <c r="P31" s="586" t="s">
        <v>920</v>
      </c>
      <c r="Q31" s="586" t="s">
        <v>921</v>
      </c>
    </row>
    <row r="32" spans="1:17" s="170" customFormat="1" ht="45.75" customHeight="1">
      <c r="A32" s="194">
        <v>1</v>
      </c>
      <c r="B32" s="125">
        <v>137384</v>
      </c>
      <c r="C32" s="195">
        <v>81.61</v>
      </c>
      <c r="D32" s="196">
        <f>+C32/24</f>
        <v>3.4004166666666666</v>
      </c>
      <c r="E32" s="195">
        <f>+B32*D32/1000</f>
        <v>467.16284333333334</v>
      </c>
      <c r="F32" s="195">
        <v>0.96</v>
      </c>
      <c r="G32" s="195">
        <f>E32*F32</f>
        <v>448.47632959999999</v>
      </c>
      <c r="H32" s="195">
        <v>0.16</v>
      </c>
      <c r="I32" s="195">
        <v>1.1000000000000001</v>
      </c>
      <c r="J32" s="195">
        <f>G32*H32*I32</f>
        <v>78.931834009599996</v>
      </c>
      <c r="K32" s="195">
        <v>1.02</v>
      </c>
      <c r="L32" s="222">
        <f>J32*K32</f>
        <v>80.510470689792001</v>
      </c>
      <c r="M32" s="222">
        <v>1.25</v>
      </c>
      <c r="N32" s="223">
        <f>+$C$59</f>
        <v>1E-3</v>
      </c>
      <c r="O32" s="224">
        <f>(L32*M32*N32)*(44/28)/10^3</f>
        <v>1.5814556742637715E-4</v>
      </c>
      <c r="P32" s="225">
        <v>273</v>
      </c>
      <c r="Q32" s="234">
        <f>+O32*P32</f>
        <v>4.3173739907400963E-2</v>
      </c>
    </row>
    <row r="33" spans="1:17" s="170" customFormat="1" ht="45.75" customHeight="1">
      <c r="A33" s="194">
        <v>2</v>
      </c>
      <c r="B33" s="125">
        <v>85904</v>
      </c>
      <c r="C33" s="195">
        <v>81.61</v>
      </c>
      <c r="D33" s="196">
        <f t="shared" ref="D33:D43" si="7">+C33/24</f>
        <v>3.4004166666666666</v>
      </c>
      <c r="E33" s="195">
        <f t="shared" ref="E33:E43" si="8">+B33*D33/1000</f>
        <v>292.10939333333329</v>
      </c>
      <c r="F33" s="195">
        <v>0.96</v>
      </c>
      <c r="G33" s="195">
        <f t="shared" ref="G33:G43" si="9">E33*F33</f>
        <v>280.42501759999993</v>
      </c>
      <c r="H33" s="195">
        <v>0.16</v>
      </c>
      <c r="I33" s="195">
        <v>1.1000000000000001</v>
      </c>
      <c r="J33" s="195">
        <f t="shared" ref="J33:J43" si="10">G33*H33</f>
        <v>44.868002815999994</v>
      </c>
      <c r="K33" s="195">
        <v>1.02</v>
      </c>
      <c r="L33" s="222">
        <f t="shared" ref="L33:L43" si="11">J33*K33</f>
        <v>45.765362872319997</v>
      </c>
      <c r="M33" s="222">
        <v>1.25</v>
      </c>
      <c r="N33" s="223">
        <f t="shared" ref="N33:N43" si="12">+$C$59</f>
        <v>1E-3</v>
      </c>
      <c r="O33" s="224">
        <f t="shared" ref="O33:O43" si="13">(L33*M33*N33)*(44/28)/10^3</f>
        <v>8.9896248499199999E-5</v>
      </c>
      <c r="P33" s="225">
        <v>273</v>
      </c>
      <c r="Q33" s="234">
        <f t="shared" ref="Q33:Q43" si="14">+O33*P33</f>
        <v>2.45416758402816E-2</v>
      </c>
    </row>
    <row r="34" spans="1:17" s="170" customFormat="1" ht="45.75" customHeight="1">
      <c r="A34" s="194">
        <v>3</v>
      </c>
      <c r="B34" s="125">
        <v>135868</v>
      </c>
      <c r="C34" s="195">
        <v>81.61</v>
      </c>
      <c r="D34" s="196">
        <f t="shared" si="7"/>
        <v>3.4004166666666666</v>
      </c>
      <c r="E34" s="195">
        <f t="shared" si="8"/>
        <v>462.00781166666667</v>
      </c>
      <c r="F34" s="195">
        <v>0.96</v>
      </c>
      <c r="G34" s="195">
        <f t="shared" si="9"/>
        <v>443.52749919999997</v>
      </c>
      <c r="H34" s="195">
        <v>0.16</v>
      </c>
      <c r="I34" s="195">
        <v>1.1000000000000001</v>
      </c>
      <c r="J34" s="195">
        <f t="shared" si="10"/>
        <v>70.964399872000001</v>
      </c>
      <c r="K34" s="195">
        <v>1.02</v>
      </c>
      <c r="L34" s="222">
        <f t="shared" si="11"/>
        <v>72.383687869439996</v>
      </c>
      <c r="M34" s="222">
        <v>1.25</v>
      </c>
      <c r="N34" s="223">
        <f t="shared" si="12"/>
        <v>1E-3</v>
      </c>
      <c r="O34" s="224">
        <f t="shared" si="13"/>
        <v>1.4218224402925714E-4</v>
      </c>
      <c r="P34" s="225">
        <v>273</v>
      </c>
      <c r="Q34" s="234">
        <f t="shared" si="14"/>
        <v>3.8815752619987202E-2</v>
      </c>
    </row>
    <row r="35" spans="1:17" s="170" customFormat="1" ht="45.75" customHeight="1">
      <c r="A35" s="194">
        <v>4</v>
      </c>
      <c r="B35" s="125">
        <v>127516</v>
      </c>
      <c r="C35" s="195">
        <v>81.61</v>
      </c>
      <c r="D35" s="196">
        <f t="shared" si="7"/>
        <v>3.4004166666666666</v>
      </c>
      <c r="E35" s="195">
        <f t="shared" si="8"/>
        <v>433.60753166666666</v>
      </c>
      <c r="F35" s="195">
        <v>0.96</v>
      </c>
      <c r="G35" s="195">
        <f t="shared" si="9"/>
        <v>416.2632304</v>
      </c>
      <c r="H35" s="195">
        <v>0.16</v>
      </c>
      <c r="I35" s="195">
        <v>1.1000000000000001</v>
      </c>
      <c r="J35" s="195">
        <f t="shared" si="10"/>
        <v>66.602116863999996</v>
      </c>
      <c r="K35" s="195">
        <v>1.02</v>
      </c>
      <c r="L35" s="222">
        <f t="shared" si="11"/>
        <v>67.934159201279996</v>
      </c>
      <c r="M35" s="222">
        <v>1.25</v>
      </c>
      <c r="N35" s="223">
        <f t="shared" si="12"/>
        <v>1E-3</v>
      </c>
      <c r="O35" s="224">
        <f t="shared" si="13"/>
        <v>1.3344209843108571E-4</v>
      </c>
      <c r="P35" s="225">
        <v>273</v>
      </c>
      <c r="Q35" s="234">
        <f t="shared" si="14"/>
        <v>3.6429692871686396E-2</v>
      </c>
    </row>
    <row r="36" spans="1:17" s="170" customFormat="1" ht="45.75" customHeight="1">
      <c r="A36" s="194">
        <v>5</v>
      </c>
      <c r="B36" s="125">
        <v>151236</v>
      </c>
      <c r="C36" s="195">
        <v>81.61</v>
      </c>
      <c r="D36" s="196">
        <f t="shared" si="7"/>
        <v>3.4004166666666666</v>
      </c>
      <c r="E36" s="195">
        <f t="shared" si="8"/>
        <v>514.26541499999996</v>
      </c>
      <c r="F36" s="195">
        <v>0.96</v>
      </c>
      <c r="G36" s="195">
        <f t="shared" si="9"/>
        <v>493.69479839999997</v>
      </c>
      <c r="H36" s="195">
        <v>0.16</v>
      </c>
      <c r="I36" s="195">
        <v>1.1000000000000001</v>
      </c>
      <c r="J36" s="195">
        <f t="shared" si="10"/>
        <v>78.991167743999995</v>
      </c>
      <c r="K36" s="195">
        <v>1.02</v>
      </c>
      <c r="L36" s="222">
        <f t="shared" si="11"/>
        <v>80.57099109888</v>
      </c>
      <c r="M36" s="222">
        <v>1.25</v>
      </c>
      <c r="N36" s="223">
        <f t="shared" si="12"/>
        <v>1E-3</v>
      </c>
      <c r="O36" s="224">
        <f t="shared" si="13"/>
        <v>1.5826444680137143E-4</v>
      </c>
      <c r="P36" s="225">
        <v>273</v>
      </c>
      <c r="Q36" s="234">
        <f t="shared" si="14"/>
        <v>4.3206193976774401E-2</v>
      </c>
    </row>
    <row r="37" spans="1:17" s="170" customFormat="1" ht="45.75" customHeight="1">
      <c r="A37" s="194">
        <v>6</v>
      </c>
      <c r="B37" s="125">
        <v>124548</v>
      </c>
      <c r="C37" s="195">
        <v>81.61</v>
      </c>
      <c r="D37" s="196">
        <f t="shared" si="7"/>
        <v>3.4004166666666666</v>
      </c>
      <c r="E37" s="195">
        <f t="shared" si="8"/>
        <v>423.51509499999997</v>
      </c>
      <c r="F37" s="195">
        <v>0.96</v>
      </c>
      <c r="G37" s="195">
        <f t="shared" si="9"/>
        <v>406.57449119999995</v>
      </c>
      <c r="H37" s="195">
        <v>0.16</v>
      </c>
      <c r="I37" s="195">
        <v>1.1000000000000001</v>
      </c>
      <c r="J37" s="195">
        <f t="shared" si="10"/>
        <v>65.051918591999993</v>
      </c>
      <c r="K37" s="195">
        <v>1.02</v>
      </c>
      <c r="L37" s="222">
        <f t="shared" si="11"/>
        <v>66.352956963840001</v>
      </c>
      <c r="M37" s="222">
        <v>1.25</v>
      </c>
      <c r="N37" s="223">
        <f t="shared" si="12"/>
        <v>1E-3</v>
      </c>
      <c r="O37" s="224">
        <f t="shared" si="13"/>
        <v>1.303361654646857E-4</v>
      </c>
      <c r="P37" s="225">
        <v>273</v>
      </c>
      <c r="Q37" s="234">
        <f t="shared" si="14"/>
        <v>3.5581773171859198E-2</v>
      </c>
    </row>
    <row r="38" spans="1:17" s="170" customFormat="1" ht="45.75" customHeight="1">
      <c r="A38" s="194">
        <v>7</v>
      </c>
      <c r="B38" s="125">
        <v>161844</v>
      </c>
      <c r="C38" s="195">
        <v>81.61</v>
      </c>
      <c r="D38" s="196">
        <f t="shared" si="7"/>
        <v>3.4004166666666666</v>
      </c>
      <c r="E38" s="195">
        <f t="shared" si="8"/>
        <v>550.33703500000001</v>
      </c>
      <c r="F38" s="195">
        <v>0.96</v>
      </c>
      <c r="G38" s="195">
        <f t="shared" si="9"/>
        <v>528.32355359999997</v>
      </c>
      <c r="H38" s="195">
        <v>0.16</v>
      </c>
      <c r="I38" s="195">
        <v>1.1000000000000001</v>
      </c>
      <c r="J38" s="195">
        <f t="shared" si="10"/>
        <v>84.53176857599999</v>
      </c>
      <c r="K38" s="195">
        <v>1.02</v>
      </c>
      <c r="L38" s="222">
        <f t="shared" si="11"/>
        <v>86.222403947519993</v>
      </c>
      <c r="M38" s="222">
        <v>1.25</v>
      </c>
      <c r="N38" s="223">
        <f t="shared" si="12"/>
        <v>1E-3</v>
      </c>
      <c r="O38" s="224">
        <f t="shared" si="13"/>
        <v>1.6936543632548569E-4</v>
      </c>
      <c r="P38" s="225">
        <v>273</v>
      </c>
      <c r="Q38" s="234">
        <f t="shared" si="14"/>
        <v>4.6236764116857593E-2</v>
      </c>
    </row>
    <row r="39" spans="1:17" s="170" customFormat="1" ht="45.75" customHeight="1">
      <c r="A39" s="194">
        <v>8</v>
      </c>
      <c r="B39" s="125">
        <v>155360</v>
      </c>
      <c r="C39" s="195">
        <v>81.61</v>
      </c>
      <c r="D39" s="196">
        <f t="shared" si="7"/>
        <v>3.4004166666666666</v>
      </c>
      <c r="E39" s="195">
        <f t="shared" si="8"/>
        <v>528.28873333333331</v>
      </c>
      <c r="F39" s="195">
        <v>0.96</v>
      </c>
      <c r="G39" s="195">
        <f t="shared" si="9"/>
        <v>507.15718399999997</v>
      </c>
      <c r="H39" s="195">
        <v>0.16</v>
      </c>
      <c r="I39" s="195">
        <v>1.1000000000000001</v>
      </c>
      <c r="J39" s="195">
        <f t="shared" si="10"/>
        <v>81.145149439999997</v>
      </c>
      <c r="K39" s="195">
        <v>1.02</v>
      </c>
      <c r="L39" s="222">
        <f t="shared" si="11"/>
        <v>82.768052428800004</v>
      </c>
      <c r="M39" s="222">
        <v>1.25</v>
      </c>
      <c r="N39" s="223">
        <f t="shared" si="12"/>
        <v>1E-3</v>
      </c>
      <c r="O39" s="224">
        <f t="shared" si="13"/>
        <v>1.6258010298514285E-4</v>
      </c>
      <c r="P39" s="225">
        <v>273</v>
      </c>
      <c r="Q39" s="234">
        <f t="shared" si="14"/>
        <v>4.4384368114943999E-2</v>
      </c>
    </row>
    <row r="40" spans="1:17" s="170" customFormat="1" ht="45.75" customHeight="1">
      <c r="A40" s="194">
        <v>9</v>
      </c>
      <c r="B40" s="125">
        <v>131428</v>
      </c>
      <c r="C40" s="195">
        <v>81.61</v>
      </c>
      <c r="D40" s="196">
        <f t="shared" si="7"/>
        <v>3.4004166666666666</v>
      </c>
      <c r="E40" s="195">
        <f t="shared" si="8"/>
        <v>446.90996166666667</v>
      </c>
      <c r="F40" s="195">
        <v>0.96</v>
      </c>
      <c r="G40" s="195">
        <f t="shared" si="9"/>
        <v>429.0335632</v>
      </c>
      <c r="H40" s="195">
        <v>0.16</v>
      </c>
      <c r="I40" s="195">
        <v>1.1000000000000001</v>
      </c>
      <c r="J40" s="195">
        <f t="shared" si="10"/>
        <v>68.645370112000009</v>
      </c>
      <c r="K40" s="195">
        <v>1.02</v>
      </c>
      <c r="L40" s="222">
        <f t="shared" si="11"/>
        <v>70.018277514240012</v>
      </c>
      <c r="M40" s="222">
        <v>1.25</v>
      </c>
      <c r="N40" s="223">
        <f t="shared" si="12"/>
        <v>1E-3</v>
      </c>
      <c r="O40" s="224">
        <f t="shared" si="13"/>
        <v>1.375359022601143E-4</v>
      </c>
      <c r="P40" s="225">
        <v>273</v>
      </c>
      <c r="Q40" s="234">
        <f t="shared" si="14"/>
        <v>3.75473013170112E-2</v>
      </c>
    </row>
    <row r="41" spans="1:17" s="170" customFormat="1" ht="45.75" customHeight="1">
      <c r="A41" s="194">
        <v>10</v>
      </c>
      <c r="B41" s="125">
        <v>156484</v>
      </c>
      <c r="C41" s="195">
        <v>81.61</v>
      </c>
      <c r="D41" s="196">
        <f t="shared" si="7"/>
        <v>3.4004166666666666</v>
      </c>
      <c r="E41" s="195">
        <f t="shared" si="8"/>
        <v>532.11080166666659</v>
      </c>
      <c r="F41" s="195">
        <v>0.96</v>
      </c>
      <c r="G41" s="195">
        <f t="shared" si="9"/>
        <v>510.82636959999991</v>
      </c>
      <c r="H41" s="195">
        <v>0.16</v>
      </c>
      <c r="I41" s="195">
        <v>1.1000000000000001</v>
      </c>
      <c r="J41" s="195">
        <f t="shared" si="10"/>
        <v>81.732219135999983</v>
      </c>
      <c r="K41" s="195">
        <v>1.02</v>
      </c>
      <c r="L41" s="222">
        <f t="shared" si="11"/>
        <v>83.366863518719981</v>
      </c>
      <c r="M41" s="222">
        <v>1.25</v>
      </c>
      <c r="N41" s="223">
        <f t="shared" si="12"/>
        <v>1E-3</v>
      </c>
      <c r="O41" s="224">
        <f t="shared" si="13"/>
        <v>1.6375633905462851E-4</v>
      </c>
      <c r="P41" s="225">
        <v>273</v>
      </c>
      <c r="Q41" s="234">
        <f t="shared" si="14"/>
        <v>4.4705480561913584E-2</v>
      </c>
    </row>
    <row r="42" spans="1:17" s="170" customFormat="1" ht="45.75" customHeight="1">
      <c r="A42" s="194">
        <v>11</v>
      </c>
      <c r="B42" s="125">
        <v>147564</v>
      </c>
      <c r="C42" s="195">
        <v>81.61</v>
      </c>
      <c r="D42" s="196">
        <f t="shared" si="7"/>
        <v>3.4004166666666666</v>
      </c>
      <c r="E42" s="195">
        <f t="shared" si="8"/>
        <v>501.77908500000001</v>
      </c>
      <c r="F42" s="195">
        <v>0.96</v>
      </c>
      <c r="G42" s="195">
        <f t="shared" si="9"/>
        <v>481.70792159999996</v>
      </c>
      <c r="H42" s="195">
        <v>0.16</v>
      </c>
      <c r="I42" s="195">
        <v>1.1000000000000001</v>
      </c>
      <c r="J42" s="195">
        <f t="shared" si="10"/>
        <v>77.073267455999996</v>
      </c>
      <c r="K42" s="195">
        <v>1.02</v>
      </c>
      <c r="L42" s="222">
        <f t="shared" si="11"/>
        <v>78.614732805119999</v>
      </c>
      <c r="M42" s="222">
        <v>1.25</v>
      </c>
      <c r="N42" s="223">
        <f t="shared" si="12"/>
        <v>1E-3</v>
      </c>
      <c r="O42" s="224">
        <f t="shared" si="13"/>
        <v>1.5442179658148571E-4</v>
      </c>
      <c r="P42" s="225">
        <v>273</v>
      </c>
      <c r="Q42" s="234">
        <f t="shared" si="14"/>
        <v>4.2157150466745598E-2</v>
      </c>
    </row>
    <row r="43" spans="1:17" s="170" customFormat="1" ht="45.75" customHeight="1">
      <c r="A43" s="194">
        <v>12</v>
      </c>
      <c r="B43" s="125">
        <v>151644</v>
      </c>
      <c r="C43" s="195">
        <v>81.61</v>
      </c>
      <c r="D43" s="196">
        <f t="shared" si="7"/>
        <v>3.4004166666666666</v>
      </c>
      <c r="E43" s="195">
        <f t="shared" si="8"/>
        <v>515.65278499999999</v>
      </c>
      <c r="F43" s="195">
        <v>0.96</v>
      </c>
      <c r="G43" s="195">
        <f t="shared" si="9"/>
        <v>495.02667359999998</v>
      </c>
      <c r="H43" s="195">
        <v>0.16</v>
      </c>
      <c r="I43" s="195">
        <v>1.1000000000000001</v>
      </c>
      <c r="J43" s="195">
        <f t="shared" si="10"/>
        <v>79.204267775999995</v>
      </c>
      <c r="K43" s="195">
        <v>1.02</v>
      </c>
      <c r="L43" s="222">
        <f t="shared" si="11"/>
        <v>80.788353131519997</v>
      </c>
      <c r="M43" s="222">
        <v>1.25</v>
      </c>
      <c r="N43" s="223">
        <f t="shared" si="12"/>
        <v>1E-3</v>
      </c>
      <c r="O43" s="224">
        <f t="shared" si="13"/>
        <v>1.5869140793691429E-4</v>
      </c>
      <c r="P43" s="225">
        <v>273</v>
      </c>
      <c r="Q43" s="234">
        <f t="shared" si="14"/>
        <v>4.3322754366777599E-2</v>
      </c>
    </row>
    <row r="44" spans="1:17" s="170" customFormat="1" ht="45.75" customHeight="1">
      <c r="A44" s="197" t="s">
        <v>922</v>
      </c>
      <c r="B44" s="198">
        <f>SUM(B32:B43)</f>
        <v>1666780</v>
      </c>
      <c r="C44" s="197"/>
      <c r="D44" s="197"/>
      <c r="E44" s="197"/>
      <c r="F44" s="197"/>
      <c r="G44" s="197"/>
      <c r="H44" s="197"/>
      <c r="I44" s="197"/>
      <c r="J44" s="197"/>
      <c r="K44" s="197"/>
      <c r="L44" s="226">
        <f>SUM(L32:L43)</f>
        <v>895.29631204147211</v>
      </c>
      <c r="M44" s="226"/>
      <c r="N44" s="227"/>
      <c r="O44" s="228">
        <f>SUM(O32:O43)</f>
        <v>1.7586177557957485E-3</v>
      </c>
      <c r="P44" s="227"/>
      <c r="Q44" s="235">
        <f>SUM(Q32:Q43)</f>
        <v>0.4801026473322394</v>
      </c>
    </row>
    <row r="45" spans="1:17" s="170" customFormat="1" ht="45.75" customHeight="1">
      <c r="A45" s="197" t="s">
        <v>923</v>
      </c>
      <c r="B45" s="198">
        <f>+B44/12</f>
        <v>138898.33333333334</v>
      </c>
      <c r="C45" s="197"/>
      <c r="D45" s="197"/>
      <c r="E45" s="197"/>
      <c r="F45" s="197"/>
      <c r="G45" s="197"/>
      <c r="H45" s="197"/>
      <c r="I45" s="197"/>
      <c r="J45" s="197"/>
      <c r="K45" s="197"/>
      <c r="L45" s="226"/>
      <c r="M45" s="226"/>
      <c r="N45" s="227"/>
      <c r="O45" s="229">
        <f>+O44/12</f>
        <v>1.4655147964964571E-4</v>
      </c>
      <c r="P45" s="230"/>
      <c r="Q45" s="229">
        <f>+Q44/12</f>
        <v>4.0008553944353285E-2</v>
      </c>
    </row>
    <row r="46" spans="1:17" s="170" customFormat="1" ht="21" customHeight="1">
      <c r="A46" s="199"/>
      <c r="B46" s="199"/>
      <c r="C46" s="199"/>
      <c r="D46" s="199"/>
      <c r="E46" s="199"/>
      <c r="F46" s="199"/>
      <c r="G46" s="199"/>
      <c r="H46" s="199"/>
      <c r="I46" s="220"/>
      <c r="J46" s="220"/>
      <c r="K46" s="220"/>
      <c r="L46" s="220"/>
      <c r="M46" s="199"/>
      <c r="N46" s="231"/>
      <c r="O46" s="231"/>
      <c r="P46" s="232"/>
      <c r="Q46" s="220"/>
    </row>
    <row r="47" spans="1:17" customFormat="1" ht="24" customHeight="1">
      <c r="A47" s="682" t="s">
        <v>524</v>
      </c>
      <c r="B47" s="683"/>
      <c r="C47" s="683"/>
      <c r="D47" s="683"/>
      <c r="E47" s="683"/>
      <c r="F47" s="683"/>
      <c r="G47" s="683"/>
      <c r="H47" s="683"/>
      <c r="I47" s="683"/>
      <c r="J47" s="683"/>
      <c r="K47" s="683"/>
      <c r="L47" s="683"/>
      <c r="M47" s="683"/>
      <c r="N47" s="683"/>
      <c r="O47" s="683"/>
      <c r="P47" s="683"/>
      <c r="Q47" s="684"/>
    </row>
    <row r="48" spans="1:17" customFormat="1" ht="24" customHeight="1">
      <c r="A48" s="200"/>
      <c r="B48" s="201"/>
      <c r="C48" s="201"/>
      <c r="D48" s="201"/>
      <c r="E48" s="201"/>
      <c r="F48" s="201"/>
      <c r="G48" s="201"/>
      <c r="H48" s="201"/>
      <c r="I48" s="201"/>
      <c r="J48" s="201"/>
      <c r="K48" s="201"/>
      <c r="L48" s="201"/>
      <c r="M48" s="201"/>
      <c r="N48" s="201"/>
      <c r="O48" s="201"/>
      <c r="P48" s="201"/>
      <c r="Q48" s="236"/>
    </row>
    <row r="49" spans="1:17" ht="25.9" customHeight="1">
      <c r="A49" s="685" t="s">
        <v>843</v>
      </c>
      <c r="B49" s="686"/>
      <c r="C49" s="202" t="s">
        <v>526</v>
      </c>
      <c r="D49" s="203" t="s">
        <v>527</v>
      </c>
      <c r="E49" s="676" t="s">
        <v>528</v>
      </c>
      <c r="F49" s="676"/>
      <c r="G49" s="676"/>
      <c r="H49" s="676"/>
      <c r="I49" s="676"/>
      <c r="J49" s="676"/>
      <c r="K49" s="676"/>
      <c r="L49" s="676"/>
      <c r="M49" s="676"/>
      <c r="N49" s="676"/>
      <c r="O49" s="676"/>
      <c r="P49" s="676"/>
      <c r="Q49" s="676"/>
    </row>
    <row r="50" spans="1:17" ht="46.9" customHeight="1">
      <c r="A50" s="672" t="s">
        <v>876</v>
      </c>
      <c r="B50" s="672"/>
      <c r="C50" s="33" t="s">
        <v>924</v>
      </c>
      <c r="D50" s="33"/>
      <c r="E50" s="671" t="s">
        <v>925</v>
      </c>
      <c r="F50" s="671"/>
      <c r="G50" s="671"/>
      <c r="H50" s="671"/>
      <c r="I50" s="671"/>
      <c r="J50" s="671"/>
      <c r="K50" s="671"/>
      <c r="L50" s="671"/>
      <c r="M50" s="671"/>
      <c r="N50" s="671"/>
      <c r="O50" s="671"/>
      <c r="P50" s="671"/>
      <c r="Q50" s="671"/>
    </row>
    <row r="51" spans="1:17" ht="46.9" customHeight="1">
      <c r="A51" s="672" t="s">
        <v>926</v>
      </c>
      <c r="B51" s="672"/>
      <c r="C51" s="33" t="s">
        <v>927</v>
      </c>
      <c r="D51" s="33" t="s">
        <v>928</v>
      </c>
      <c r="E51" s="671" t="s">
        <v>929</v>
      </c>
      <c r="F51" s="671"/>
      <c r="G51" s="671"/>
      <c r="H51" s="671"/>
      <c r="I51" s="671"/>
      <c r="J51" s="671"/>
      <c r="K51" s="671"/>
      <c r="L51" s="671"/>
      <c r="M51" s="671"/>
      <c r="N51" s="671"/>
      <c r="O51" s="671"/>
      <c r="P51" s="671"/>
      <c r="Q51" s="671"/>
    </row>
    <row r="52" spans="1:17" ht="60" customHeight="1">
      <c r="A52" s="672" t="s">
        <v>930</v>
      </c>
      <c r="B52" s="672"/>
      <c r="C52" s="33">
        <v>40</v>
      </c>
      <c r="D52" s="33" t="s">
        <v>931</v>
      </c>
      <c r="E52" s="671" t="s">
        <v>932</v>
      </c>
      <c r="F52" s="671"/>
      <c r="G52" s="671"/>
      <c r="H52" s="671"/>
      <c r="I52" s="671"/>
      <c r="J52" s="671"/>
      <c r="K52" s="671"/>
      <c r="L52" s="671"/>
      <c r="M52" s="671"/>
      <c r="N52" s="671"/>
      <c r="O52" s="671"/>
      <c r="P52" s="671"/>
      <c r="Q52" s="671"/>
    </row>
    <row r="53" spans="1:17" ht="41.45" customHeight="1">
      <c r="A53" s="672" t="s">
        <v>933</v>
      </c>
      <c r="B53" s="672"/>
      <c r="C53" s="33">
        <v>81.61</v>
      </c>
      <c r="D53" s="33" t="s">
        <v>934</v>
      </c>
      <c r="E53" s="671" t="s">
        <v>935</v>
      </c>
      <c r="F53" s="671"/>
      <c r="G53" s="671"/>
      <c r="H53" s="671"/>
      <c r="I53" s="671"/>
      <c r="J53" s="671"/>
      <c r="K53" s="671"/>
      <c r="L53" s="671"/>
      <c r="M53" s="671"/>
      <c r="N53" s="671"/>
      <c r="O53" s="671"/>
      <c r="P53" s="671"/>
      <c r="Q53" s="671"/>
    </row>
    <row r="54" spans="1:17" ht="41.45" customHeight="1">
      <c r="A54" s="672" t="s">
        <v>936</v>
      </c>
      <c r="B54" s="672"/>
      <c r="C54" s="33">
        <v>0.96</v>
      </c>
      <c r="D54" s="33" t="s">
        <v>845</v>
      </c>
      <c r="E54" s="671" t="s">
        <v>937</v>
      </c>
      <c r="F54" s="671"/>
      <c r="G54" s="671"/>
      <c r="H54" s="671"/>
      <c r="I54" s="671"/>
      <c r="J54" s="671"/>
      <c r="K54" s="671"/>
      <c r="L54" s="671"/>
      <c r="M54" s="671"/>
      <c r="N54" s="671"/>
      <c r="O54" s="671"/>
      <c r="P54" s="671"/>
      <c r="Q54" s="671"/>
    </row>
    <row r="55" spans="1:17" ht="58.9" customHeight="1">
      <c r="A55" s="672" t="s">
        <v>907</v>
      </c>
      <c r="B55" s="672"/>
      <c r="C55" s="33">
        <v>0.16</v>
      </c>
      <c r="D55" s="33" t="s">
        <v>938</v>
      </c>
      <c r="E55" s="671" t="s">
        <v>939</v>
      </c>
      <c r="F55" s="671"/>
      <c r="G55" s="671"/>
      <c r="H55" s="671"/>
      <c r="I55" s="671"/>
      <c r="J55" s="671"/>
      <c r="K55" s="671"/>
      <c r="L55" s="671"/>
      <c r="M55" s="671"/>
      <c r="N55" s="671"/>
      <c r="O55" s="671"/>
      <c r="P55" s="671"/>
      <c r="Q55" s="671"/>
    </row>
    <row r="56" spans="1:17" ht="58.9" customHeight="1">
      <c r="A56" s="672" t="s">
        <v>908</v>
      </c>
      <c r="B56" s="672"/>
      <c r="C56" s="33">
        <v>1.1000000000000001</v>
      </c>
      <c r="D56" s="33" t="s">
        <v>938</v>
      </c>
      <c r="E56" s="671" t="s">
        <v>940</v>
      </c>
      <c r="F56" s="671"/>
      <c r="G56" s="671"/>
      <c r="H56" s="671"/>
      <c r="I56" s="671"/>
      <c r="J56" s="671"/>
      <c r="K56" s="671"/>
      <c r="L56" s="671"/>
      <c r="M56" s="671"/>
      <c r="N56" s="671"/>
      <c r="O56" s="671"/>
      <c r="P56" s="671"/>
      <c r="Q56" s="671"/>
    </row>
    <row r="57" spans="1:17" ht="58.9" customHeight="1">
      <c r="A57" s="672" t="s">
        <v>910</v>
      </c>
      <c r="B57" s="672"/>
      <c r="C57" s="33">
        <v>1.02</v>
      </c>
      <c r="D57" s="33" t="s">
        <v>941</v>
      </c>
      <c r="E57" s="671" t="s">
        <v>942</v>
      </c>
      <c r="F57" s="671"/>
      <c r="G57" s="671"/>
      <c r="H57" s="671"/>
      <c r="I57" s="671"/>
      <c r="J57" s="671"/>
      <c r="K57" s="671"/>
      <c r="L57" s="671"/>
      <c r="M57" s="671"/>
      <c r="N57" s="671"/>
      <c r="O57" s="671"/>
      <c r="P57" s="671"/>
      <c r="Q57" s="671"/>
    </row>
    <row r="58" spans="1:17" ht="58.9" customHeight="1">
      <c r="A58" s="672" t="s">
        <v>943</v>
      </c>
      <c r="B58" s="672"/>
      <c r="C58" s="33">
        <v>1.25</v>
      </c>
      <c r="D58" s="33" t="s">
        <v>941</v>
      </c>
      <c r="E58" s="671" t="s">
        <v>944</v>
      </c>
      <c r="F58" s="671"/>
      <c r="G58" s="671"/>
      <c r="H58" s="671"/>
      <c r="I58" s="671"/>
      <c r="J58" s="671"/>
      <c r="K58" s="671"/>
      <c r="L58" s="671"/>
      <c r="M58" s="671"/>
      <c r="N58" s="671"/>
      <c r="O58" s="671"/>
      <c r="P58" s="671"/>
      <c r="Q58" s="671"/>
    </row>
    <row r="59" spans="1:17" ht="82.15" customHeight="1">
      <c r="A59" s="672" t="s">
        <v>945</v>
      </c>
      <c r="B59" s="672"/>
      <c r="C59" s="33">
        <v>1E-3</v>
      </c>
      <c r="D59" s="33" t="s">
        <v>946</v>
      </c>
      <c r="E59" s="671" t="s">
        <v>947</v>
      </c>
      <c r="F59" s="671"/>
      <c r="G59" s="671"/>
      <c r="H59" s="671"/>
      <c r="I59" s="671"/>
      <c r="J59" s="671"/>
      <c r="K59" s="671"/>
      <c r="L59" s="671"/>
      <c r="M59" s="671"/>
      <c r="N59" s="671"/>
      <c r="O59" s="671"/>
      <c r="P59" s="671"/>
      <c r="Q59" s="671"/>
    </row>
    <row r="60" spans="1:17" ht="77.45" customHeight="1">
      <c r="A60" s="672" t="s">
        <v>878</v>
      </c>
      <c r="B60" s="672"/>
      <c r="C60" s="33">
        <v>27.9</v>
      </c>
      <c r="D60" s="33"/>
      <c r="E60" s="671" t="s">
        <v>948</v>
      </c>
      <c r="F60" s="671"/>
      <c r="G60" s="671"/>
      <c r="H60" s="671"/>
      <c r="I60" s="671"/>
      <c r="J60" s="671"/>
      <c r="K60" s="671"/>
      <c r="L60" s="671"/>
      <c r="M60" s="671"/>
      <c r="N60" s="671"/>
      <c r="O60" s="671"/>
      <c r="P60" s="671"/>
      <c r="Q60" s="671"/>
    </row>
    <row r="61" spans="1:17" ht="38.450000000000003" customHeight="1">
      <c r="A61" s="670" t="s">
        <v>949</v>
      </c>
      <c r="B61" s="670"/>
      <c r="C61" s="146"/>
      <c r="D61" s="33" t="s">
        <v>950</v>
      </c>
      <c r="E61" s="671" t="s">
        <v>951</v>
      </c>
      <c r="F61" s="671"/>
      <c r="G61" s="671"/>
      <c r="H61" s="671"/>
      <c r="I61" s="671"/>
      <c r="J61" s="671"/>
      <c r="K61" s="671"/>
      <c r="L61" s="671"/>
      <c r="M61" s="671"/>
      <c r="N61" s="671"/>
      <c r="O61" s="671"/>
      <c r="P61" s="671"/>
      <c r="Q61" s="671"/>
    </row>
    <row r="62" spans="1:17" ht="38.450000000000003" customHeight="1">
      <c r="A62" s="670" t="s">
        <v>952</v>
      </c>
      <c r="B62" s="670"/>
      <c r="C62" s="146"/>
      <c r="D62" s="33" t="s">
        <v>953</v>
      </c>
      <c r="E62" s="671" t="s">
        <v>951</v>
      </c>
      <c r="F62" s="671"/>
      <c r="G62" s="671"/>
      <c r="H62" s="671"/>
      <c r="I62" s="671"/>
      <c r="J62" s="671"/>
      <c r="K62" s="671"/>
      <c r="L62" s="671"/>
      <c r="M62" s="671"/>
      <c r="N62" s="671"/>
      <c r="O62" s="671"/>
      <c r="P62" s="671"/>
      <c r="Q62" s="671"/>
    </row>
    <row r="63" spans="1:17" ht="37.15" customHeight="1">
      <c r="A63" s="670" t="s">
        <v>954</v>
      </c>
      <c r="B63" s="670"/>
      <c r="C63" s="146"/>
      <c r="D63" s="33" t="s">
        <v>955</v>
      </c>
      <c r="E63" s="671" t="s">
        <v>951</v>
      </c>
      <c r="F63" s="671"/>
      <c r="G63" s="671"/>
      <c r="H63" s="671"/>
      <c r="I63" s="671"/>
      <c r="J63" s="671"/>
      <c r="K63" s="671"/>
      <c r="L63" s="671"/>
      <c r="M63" s="671"/>
      <c r="N63" s="671"/>
      <c r="O63" s="671"/>
      <c r="P63" s="671"/>
      <c r="Q63" s="671"/>
    </row>
  </sheetData>
  <mergeCells count="42">
    <mergeCell ref="A6:J6"/>
    <mergeCell ref="J8:K8"/>
    <mergeCell ref="A47:Q47"/>
    <mergeCell ref="A49:B49"/>
    <mergeCell ref="E49:Q49"/>
    <mergeCell ref="E50:Q50"/>
    <mergeCell ref="A51:B51"/>
    <mergeCell ref="E51:Q51"/>
    <mergeCell ref="A52:B52"/>
    <mergeCell ref="E52:Q52"/>
    <mergeCell ref="A63:B63"/>
    <mergeCell ref="E63:Q63"/>
    <mergeCell ref="A29:A30"/>
    <mergeCell ref="B29:B30"/>
    <mergeCell ref="C29:C30"/>
    <mergeCell ref="D29:D30"/>
    <mergeCell ref="P29:P30"/>
    <mergeCell ref="Q29:Q30"/>
    <mergeCell ref="A59:B59"/>
    <mergeCell ref="E59:Q59"/>
    <mergeCell ref="A60:B60"/>
    <mergeCell ref="E60:Q60"/>
    <mergeCell ref="A61:B61"/>
    <mergeCell ref="E61:Q61"/>
    <mergeCell ref="A56:B56"/>
    <mergeCell ref="E56:Q56"/>
    <mergeCell ref="A1:B4"/>
    <mergeCell ref="N1:O4"/>
    <mergeCell ref="C1:M4"/>
    <mergeCell ref="A62:B62"/>
    <mergeCell ref="E62:Q62"/>
    <mergeCell ref="A57:B57"/>
    <mergeCell ref="E57:Q57"/>
    <mergeCell ref="A58:B58"/>
    <mergeCell ref="E58:Q58"/>
    <mergeCell ref="A53:B53"/>
    <mergeCell ref="E53:Q53"/>
    <mergeCell ref="A54:B54"/>
    <mergeCell ref="E54:Q54"/>
    <mergeCell ref="A55:B55"/>
    <mergeCell ref="E55:Q55"/>
    <mergeCell ref="A50:B50"/>
  </mergeCells>
  <pageMargins left="0.98425196850393704" right="0.59055118110236204" top="0.78740157480314998" bottom="0.78740157480314998" header="0.31496062992126" footer="0.31496062992126"/>
  <pageSetup paperSize="9" scale="17" orientation="landscape"/>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0"/>
    <pageSetUpPr fitToPage="1"/>
  </sheetPr>
  <dimension ref="A1:T32"/>
  <sheetViews>
    <sheetView topLeftCell="A22" zoomScale="70" zoomScaleNormal="70" workbookViewId="0">
      <selection activeCell="A6" sqref="A6:L6"/>
    </sheetView>
  </sheetViews>
  <sheetFormatPr defaultColWidth="9.140625" defaultRowHeight="14.25"/>
  <cols>
    <col min="1" max="1" width="18.7109375" style="115" customWidth="1"/>
    <col min="2" max="2" width="15.28515625" style="57" customWidth="1"/>
    <col min="3" max="3" width="3.28515625" style="57" customWidth="1"/>
    <col min="4" max="4" width="17.7109375" style="57" customWidth="1"/>
    <col min="5" max="5" width="16.85546875" style="57" customWidth="1"/>
    <col min="6" max="6" width="18.7109375" style="57" customWidth="1"/>
    <col min="7" max="7" width="17.28515625" style="57" customWidth="1"/>
    <col min="8" max="8" width="11.7109375" style="57" customWidth="1"/>
    <col min="9" max="9" width="14.28515625" style="57" customWidth="1"/>
    <col min="10" max="10" width="18" style="57" customWidth="1"/>
    <col min="11" max="11" width="12.28515625" style="57" customWidth="1"/>
    <col min="12" max="12" width="16.5703125" style="57" customWidth="1"/>
    <col min="13" max="13" width="12.85546875" style="57" customWidth="1"/>
    <col min="14" max="14" width="19.7109375" style="57" customWidth="1"/>
    <col min="15" max="15" width="5" style="115" customWidth="1"/>
    <col min="16" max="16" width="18.28515625" style="115" customWidth="1"/>
    <col min="17" max="17" width="15.7109375" style="115" customWidth="1"/>
    <col min="18" max="18" width="22.42578125" style="115" customWidth="1"/>
    <col min="19" max="19" width="17.7109375" style="115" customWidth="1"/>
    <col min="20" max="20" width="29.7109375" style="115" customWidth="1"/>
    <col min="21" max="16384" width="9.140625" style="57"/>
  </cols>
  <sheetData>
    <row r="1" spans="1:20" ht="25.15" customHeight="1">
      <c r="A1" s="659"/>
      <c r="B1" s="659"/>
      <c r="C1" s="660" t="s">
        <v>1143</v>
      </c>
      <c r="D1" s="660"/>
      <c r="E1" s="660"/>
      <c r="F1" s="660"/>
      <c r="G1" s="660"/>
      <c r="H1" s="660"/>
      <c r="I1" s="660"/>
      <c r="J1" s="660"/>
      <c r="K1" s="660" t="s">
        <v>1142</v>
      </c>
      <c r="L1" s="660"/>
      <c r="M1" s="660"/>
    </row>
    <row r="2" spans="1:20" ht="25.15" customHeight="1">
      <c r="A2" s="659"/>
      <c r="B2" s="659"/>
      <c r="C2" s="660"/>
      <c r="D2" s="660"/>
      <c r="E2" s="660"/>
      <c r="F2" s="660"/>
      <c r="G2" s="660"/>
      <c r="H2" s="660"/>
      <c r="I2" s="660"/>
      <c r="J2" s="660"/>
      <c r="K2" s="660"/>
      <c r="L2" s="660"/>
      <c r="M2" s="660"/>
    </row>
    <row r="3" spans="1:20" ht="25.15" customHeight="1">
      <c r="A3" s="659"/>
      <c r="B3" s="659"/>
      <c r="C3" s="660"/>
      <c r="D3" s="660"/>
      <c r="E3" s="660"/>
      <c r="F3" s="660"/>
      <c r="G3" s="660"/>
      <c r="H3" s="660"/>
      <c r="I3" s="660"/>
      <c r="J3" s="660"/>
      <c r="K3" s="660"/>
      <c r="L3" s="660"/>
      <c r="M3" s="660"/>
    </row>
    <row r="4" spans="1:20" ht="18.75" customHeight="1">
      <c r="A4" s="659"/>
      <c r="B4" s="659"/>
      <c r="C4" s="660"/>
      <c r="D4" s="660"/>
      <c r="E4" s="660"/>
      <c r="F4" s="660"/>
      <c r="G4" s="660"/>
      <c r="H4" s="660"/>
      <c r="I4" s="660"/>
      <c r="J4" s="660"/>
      <c r="K4" s="660"/>
      <c r="L4" s="660"/>
      <c r="M4" s="660"/>
      <c r="N4" s="147"/>
      <c r="O4" s="148"/>
    </row>
    <row r="5" spans="1:20" s="114" customFormat="1" ht="27" customHeight="1">
      <c r="A5" s="679" t="s">
        <v>956</v>
      </c>
      <c r="B5" s="680"/>
      <c r="C5" s="680"/>
      <c r="D5" s="680"/>
      <c r="E5" s="680"/>
      <c r="F5" s="680"/>
      <c r="G5" s="680"/>
      <c r="H5" s="108"/>
      <c r="I5" s="108"/>
      <c r="J5" s="108"/>
      <c r="K5" s="108"/>
      <c r="L5" s="108"/>
      <c r="M5" s="149"/>
      <c r="O5" s="150"/>
      <c r="P5" s="150"/>
      <c r="Q5" s="150"/>
      <c r="R5" s="150"/>
      <c r="S5" s="150"/>
      <c r="T5" s="150"/>
    </row>
    <row r="6" spans="1:20" s="114" customFormat="1" ht="27" customHeight="1">
      <c r="A6" s="679" t="s">
        <v>866</v>
      </c>
      <c r="B6" s="680"/>
      <c r="C6" s="680"/>
      <c r="D6" s="680"/>
      <c r="E6" s="680"/>
      <c r="F6" s="680"/>
      <c r="G6" s="680"/>
      <c r="H6" s="680"/>
      <c r="I6" s="680"/>
      <c r="J6" s="680"/>
      <c r="K6" s="680"/>
      <c r="L6" s="680"/>
      <c r="M6" s="149"/>
      <c r="O6" s="150"/>
      <c r="P6" s="150"/>
      <c r="Q6" s="150"/>
      <c r="R6" s="150"/>
      <c r="S6" s="150"/>
      <c r="T6" s="150"/>
    </row>
    <row r="7" spans="1:20" s="58" customFormat="1" ht="27" customHeight="1">
      <c r="A7" s="117" t="s">
        <v>957</v>
      </c>
      <c r="B7" s="118"/>
      <c r="C7" s="118"/>
      <c r="D7" s="118"/>
      <c r="E7" s="119"/>
      <c r="F7" s="116"/>
      <c r="G7" s="116"/>
      <c r="H7" s="116"/>
      <c r="I7" s="116"/>
      <c r="J7" s="116"/>
      <c r="K7" s="116"/>
      <c r="L7" s="116"/>
      <c r="M7" s="149"/>
      <c r="O7" s="20"/>
      <c r="P7" s="20"/>
      <c r="Q7" s="20"/>
      <c r="R7" s="20"/>
      <c r="S7" s="20"/>
      <c r="T7" s="20"/>
    </row>
    <row r="8" spans="1:20" s="58" customFormat="1" ht="27" customHeight="1">
      <c r="A8" s="120" t="s">
        <v>958</v>
      </c>
      <c r="B8" s="121"/>
      <c r="C8" s="122"/>
      <c r="D8" s="121"/>
      <c r="E8" s="123"/>
      <c r="F8" s="122"/>
      <c r="G8" s="122"/>
      <c r="H8" s="122"/>
      <c r="I8" s="122"/>
      <c r="J8" s="122"/>
      <c r="K8" s="122"/>
      <c r="L8" s="921"/>
      <c r="M8" s="1053"/>
      <c r="O8" s="20"/>
      <c r="P8" s="20"/>
      <c r="Q8" s="20"/>
      <c r="R8" s="20"/>
      <c r="S8" s="20"/>
      <c r="T8" s="20"/>
    </row>
    <row r="9" spans="1:20" s="18" customFormat="1" ht="49.5">
      <c r="A9" s="124" t="s">
        <v>761</v>
      </c>
      <c r="B9" s="923" t="s">
        <v>959</v>
      </c>
      <c r="C9" s="925"/>
      <c r="D9" s="37" t="s">
        <v>960</v>
      </c>
      <c r="E9" s="28" t="s">
        <v>961</v>
      </c>
      <c r="F9" s="28" t="s">
        <v>962</v>
      </c>
      <c r="G9" s="28" t="s">
        <v>963</v>
      </c>
      <c r="H9" s="28" t="s">
        <v>964</v>
      </c>
      <c r="I9" s="28" t="s">
        <v>965</v>
      </c>
      <c r="J9" s="28" t="s">
        <v>886</v>
      </c>
      <c r="K9" s="923" t="s">
        <v>586</v>
      </c>
      <c r="L9" s="924"/>
      <c r="M9" s="925"/>
      <c r="O9" s="151" t="s">
        <v>2</v>
      </c>
      <c r="P9" s="152" t="s">
        <v>966</v>
      </c>
      <c r="Q9" s="151" t="s">
        <v>967</v>
      </c>
      <c r="R9" s="151" t="s">
        <v>968</v>
      </c>
      <c r="S9" s="151" t="s">
        <v>969</v>
      </c>
      <c r="T9" s="151" t="s">
        <v>970</v>
      </c>
    </row>
    <row r="10" spans="1:20" s="18" customFormat="1" ht="19.149999999999999" customHeight="1">
      <c r="A10" s="567" t="s">
        <v>510</v>
      </c>
      <c r="B10" s="1051" t="s">
        <v>511</v>
      </c>
      <c r="C10" s="1052"/>
      <c r="D10" s="47"/>
      <c r="E10" s="567" t="s">
        <v>575</v>
      </c>
      <c r="F10" s="567" t="s">
        <v>513</v>
      </c>
      <c r="G10" s="567" t="s">
        <v>577</v>
      </c>
      <c r="H10" s="567" t="s">
        <v>515</v>
      </c>
      <c r="I10" s="567" t="s">
        <v>516</v>
      </c>
      <c r="J10" s="567" t="s">
        <v>517</v>
      </c>
      <c r="K10" s="968"/>
      <c r="L10" s="969"/>
      <c r="M10" s="970"/>
      <c r="O10" s="155">
        <v>1</v>
      </c>
      <c r="P10" s="155" t="s">
        <v>971</v>
      </c>
      <c r="Q10" s="155" t="s">
        <v>972</v>
      </c>
      <c r="R10" s="155" t="s">
        <v>973</v>
      </c>
      <c r="S10" s="155" t="s">
        <v>974</v>
      </c>
      <c r="T10" s="155">
        <v>9.5</v>
      </c>
    </row>
    <row r="11" spans="1:20" s="18" customFormat="1" ht="24.75" customHeight="1">
      <c r="A11" s="125">
        <v>1</v>
      </c>
      <c r="B11" s="1046">
        <v>32.5</v>
      </c>
      <c r="C11" s="1047"/>
      <c r="D11" s="126">
        <v>6.7</v>
      </c>
      <c r="E11" s="127">
        <v>1166.086</v>
      </c>
      <c r="F11" s="128">
        <f>+(B11-D11)*E11/1000</f>
        <v>30.0850188</v>
      </c>
      <c r="G11" s="129">
        <v>1.6E-2</v>
      </c>
      <c r="H11" s="130">
        <f>F11*G11*44/28</f>
        <v>0.75642332982857141</v>
      </c>
      <c r="I11" s="30">
        <v>273</v>
      </c>
      <c r="J11" s="156">
        <f>H11*I11/1000</f>
        <v>0.2065035690432</v>
      </c>
      <c r="K11" s="971"/>
      <c r="L11" s="972"/>
      <c r="M11" s="973"/>
      <c r="O11" s="155">
        <v>2</v>
      </c>
      <c r="P11" s="155" t="s">
        <v>975</v>
      </c>
      <c r="Q11" s="155"/>
      <c r="R11" s="155" t="s">
        <v>976</v>
      </c>
      <c r="S11" s="155" t="s">
        <v>977</v>
      </c>
      <c r="T11" s="155">
        <v>8.9</v>
      </c>
    </row>
    <row r="12" spans="1:20" s="18" customFormat="1" ht="24.75" customHeight="1">
      <c r="A12" s="125">
        <v>2</v>
      </c>
      <c r="B12" s="1046">
        <v>32.5</v>
      </c>
      <c r="C12" s="1047"/>
      <c r="D12" s="126">
        <v>6.7</v>
      </c>
      <c r="E12" s="127">
        <v>819.06500000000005</v>
      </c>
      <c r="F12" s="128">
        <f t="shared" ref="F12:F16" si="0">+(B12-D12)*E12/1000</f>
        <v>21.131876999999999</v>
      </c>
      <c r="G12" s="129">
        <v>1.6E-2</v>
      </c>
      <c r="H12" s="130">
        <f t="shared" ref="H12:H22" si="1">F12*G12*44/28</f>
        <v>0.53131576457142859</v>
      </c>
      <c r="I12" s="30">
        <v>273</v>
      </c>
      <c r="J12" s="156">
        <f t="shared" ref="J12:J22" si="2">H12*I12/1000</f>
        <v>0.14504920372800001</v>
      </c>
      <c r="K12" s="971"/>
      <c r="L12" s="972"/>
      <c r="M12" s="973"/>
      <c r="O12" s="1048" t="s">
        <v>978</v>
      </c>
      <c r="P12" s="1049"/>
      <c r="Q12" s="1049"/>
      <c r="R12" s="1049"/>
      <c r="S12" s="1050"/>
      <c r="T12" s="168">
        <f>+AVERAGE(T10:T11)</f>
        <v>9.1999999999999993</v>
      </c>
    </row>
    <row r="13" spans="1:20" s="18" customFormat="1" ht="24.75" customHeight="1">
      <c r="A13" s="125">
        <v>3</v>
      </c>
      <c r="B13" s="1046">
        <v>32.5</v>
      </c>
      <c r="C13" s="1047"/>
      <c r="D13" s="126">
        <v>6.7</v>
      </c>
      <c r="E13" s="127">
        <v>823.42899999999997</v>
      </c>
      <c r="F13" s="128">
        <f t="shared" si="0"/>
        <v>21.2444682</v>
      </c>
      <c r="G13" s="129">
        <v>1.6E-2</v>
      </c>
      <c r="H13" s="130">
        <f t="shared" si="1"/>
        <v>0.53414662902857146</v>
      </c>
      <c r="I13" s="30">
        <v>273</v>
      </c>
      <c r="J13" s="156">
        <f t="shared" si="2"/>
        <v>0.14582202972480002</v>
      </c>
      <c r="K13" s="971"/>
      <c r="L13" s="972"/>
      <c r="M13" s="973"/>
      <c r="O13" s="155">
        <v>3</v>
      </c>
      <c r="P13" s="155" t="s">
        <v>979</v>
      </c>
      <c r="Q13" s="155" t="s">
        <v>980</v>
      </c>
      <c r="R13" s="169">
        <v>45180</v>
      </c>
      <c r="S13" s="155" t="s">
        <v>981</v>
      </c>
      <c r="T13" s="155">
        <v>17.899999999999999</v>
      </c>
    </row>
    <row r="14" spans="1:20" s="18" customFormat="1" ht="24.75" customHeight="1">
      <c r="A14" s="125">
        <v>4</v>
      </c>
      <c r="B14" s="1046">
        <v>32.5</v>
      </c>
      <c r="C14" s="1047"/>
      <c r="D14" s="126">
        <v>6.7</v>
      </c>
      <c r="E14" s="127">
        <v>885.72400000000005</v>
      </c>
      <c r="F14" s="128">
        <f t="shared" si="0"/>
        <v>22.851679200000003</v>
      </c>
      <c r="G14" s="129">
        <v>1.6E-2</v>
      </c>
      <c r="H14" s="130">
        <f t="shared" si="1"/>
        <v>0.57455650560000016</v>
      </c>
      <c r="I14" s="30">
        <v>273</v>
      </c>
      <c r="J14" s="156">
        <f t="shared" si="2"/>
        <v>0.15685392602880002</v>
      </c>
      <c r="K14" s="971"/>
      <c r="L14" s="972"/>
      <c r="M14" s="973"/>
      <c r="O14" s="155">
        <v>3</v>
      </c>
      <c r="P14" s="155" t="s">
        <v>979</v>
      </c>
      <c r="Q14" s="155" t="s">
        <v>980</v>
      </c>
      <c r="R14" s="169">
        <v>45180</v>
      </c>
      <c r="S14" s="155" t="s">
        <v>981</v>
      </c>
      <c r="T14" s="155">
        <v>17.899999999999999</v>
      </c>
    </row>
    <row r="15" spans="1:20" s="18" customFormat="1" ht="24.75" customHeight="1">
      <c r="A15" s="125">
        <v>5</v>
      </c>
      <c r="B15" s="1046">
        <v>32.5</v>
      </c>
      <c r="C15" s="1047"/>
      <c r="D15" s="126">
        <v>6.7</v>
      </c>
      <c r="E15" s="127">
        <v>1047.6780000000001</v>
      </c>
      <c r="F15" s="128">
        <f t="shared" si="0"/>
        <v>27.030092400000004</v>
      </c>
      <c r="G15" s="129">
        <v>1.6E-2</v>
      </c>
      <c r="H15" s="130">
        <f t="shared" si="1"/>
        <v>0.67961375177142869</v>
      </c>
      <c r="I15" s="30">
        <v>273</v>
      </c>
      <c r="J15" s="156">
        <f t="shared" si="2"/>
        <v>0.18553455423360005</v>
      </c>
      <c r="K15" s="971"/>
      <c r="L15" s="972"/>
      <c r="M15" s="973"/>
      <c r="O15" s="155">
        <v>4</v>
      </c>
      <c r="P15" s="155" t="s">
        <v>982</v>
      </c>
      <c r="Q15" s="155" t="s">
        <v>983</v>
      </c>
      <c r="R15" s="155" t="s">
        <v>984</v>
      </c>
      <c r="S15" s="155" t="s">
        <v>985</v>
      </c>
      <c r="T15" s="155">
        <v>15.1</v>
      </c>
    </row>
    <row r="16" spans="1:20" s="18" customFormat="1" ht="24.75" customHeight="1">
      <c r="A16" s="125">
        <v>6</v>
      </c>
      <c r="B16" s="1046">
        <v>32.5</v>
      </c>
      <c r="C16" s="1047"/>
      <c r="D16" s="126">
        <v>6.7</v>
      </c>
      <c r="E16" s="127">
        <v>1039.972</v>
      </c>
      <c r="F16" s="128">
        <f t="shared" si="0"/>
        <v>26.8312776</v>
      </c>
      <c r="G16" s="129">
        <v>1.6E-2</v>
      </c>
      <c r="H16" s="130">
        <f t="shared" si="1"/>
        <v>0.6746149796571429</v>
      </c>
      <c r="I16" s="30">
        <v>273</v>
      </c>
      <c r="J16" s="156">
        <f t="shared" si="2"/>
        <v>0.18416988944640003</v>
      </c>
      <c r="K16" s="971"/>
      <c r="L16" s="972"/>
      <c r="M16" s="973"/>
      <c r="O16" s="155">
        <v>5</v>
      </c>
      <c r="P16" s="155" t="s">
        <v>986</v>
      </c>
      <c r="Q16" s="155" t="s">
        <v>987</v>
      </c>
      <c r="R16" s="155" t="s">
        <v>988</v>
      </c>
      <c r="S16" s="155" t="s">
        <v>989</v>
      </c>
      <c r="T16" s="155">
        <v>11.2</v>
      </c>
    </row>
    <row r="17" spans="1:20" s="18" customFormat="1" ht="24.75" customHeight="1">
      <c r="A17" s="125">
        <v>7</v>
      </c>
      <c r="B17" s="1046">
        <v>32.5</v>
      </c>
      <c r="C17" s="1047"/>
      <c r="D17" s="126">
        <v>6.7</v>
      </c>
      <c r="E17" s="127">
        <v>1569.414</v>
      </c>
      <c r="F17" s="128">
        <f t="shared" ref="F17:F22" si="3">+B17*E17/1000</f>
        <v>51.005955</v>
      </c>
      <c r="G17" s="129">
        <v>1.6E-2</v>
      </c>
      <c r="H17" s="130">
        <f t="shared" si="1"/>
        <v>1.28243544</v>
      </c>
      <c r="I17" s="30">
        <v>273</v>
      </c>
      <c r="J17" s="156">
        <f t="shared" si="2"/>
        <v>0.35010487511999999</v>
      </c>
      <c r="K17" s="971"/>
      <c r="L17" s="972"/>
      <c r="M17" s="973"/>
      <c r="O17" s="1048" t="s">
        <v>990</v>
      </c>
      <c r="P17" s="1049"/>
      <c r="Q17" s="1049"/>
      <c r="R17" s="1049"/>
      <c r="S17" s="1050"/>
      <c r="T17" s="168">
        <f>+AVERAGE(T13:T16)</f>
        <v>15.524999999999999</v>
      </c>
    </row>
    <row r="18" spans="1:20" s="18" customFormat="1" ht="24.75" customHeight="1">
      <c r="A18" s="125">
        <v>8</v>
      </c>
      <c r="B18" s="1046">
        <v>32.5</v>
      </c>
      <c r="C18" s="1047"/>
      <c r="D18" s="126">
        <v>6.7</v>
      </c>
      <c r="E18" s="127">
        <v>1572.355</v>
      </c>
      <c r="F18" s="128">
        <f t="shared" si="3"/>
        <v>51.101537499999999</v>
      </c>
      <c r="G18" s="129">
        <v>1.6E-2</v>
      </c>
      <c r="H18" s="130">
        <f t="shared" si="1"/>
        <v>1.2848386571428574</v>
      </c>
      <c r="I18" s="30">
        <v>273</v>
      </c>
      <c r="J18" s="156">
        <f t="shared" si="2"/>
        <v>0.35076095340000008</v>
      </c>
      <c r="K18" s="971"/>
      <c r="L18" s="972"/>
      <c r="M18" s="973"/>
      <c r="O18" s="20"/>
      <c r="P18" s="20"/>
      <c r="Q18" s="20"/>
      <c r="R18" s="20"/>
      <c r="S18" s="20"/>
      <c r="T18" s="20"/>
    </row>
    <row r="19" spans="1:20" s="18" customFormat="1" ht="24.75" customHeight="1">
      <c r="A19" s="125">
        <v>9</v>
      </c>
      <c r="B19" s="1046">
        <v>32.5</v>
      </c>
      <c r="C19" s="1047"/>
      <c r="D19" s="126">
        <v>6.7</v>
      </c>
      <c r="E19" s="127">
        <v>1536.712</v>
      </c>
      <c r="F19" s="128">
        <f t="shared" si="3"/>
        <v>49.94314</v>
      </c>
      <c r="G19" s="129">
        <v>1.6E-2</v>
      </c>
      <c r="H19" s="130">
        <f t="shared" si="1"/>
        <v>1.2557132342857145</v>
      </c>
      <c r="I19" s="30">
        <v>273</v>
      </c>
      <c r="J19" s="156">
        <f t="shared" si="2"/>
        <v>0.34280971296000007</v>
      </c>
      <c r="K19" s="971"/>
      <c r="L19" s="972"/>
      <c r="M19" s="973"/>
      <c r="O19" s="20"/>
      <c r="P19" s="20"/>
      <c r="Q19" s="20"/>
      <c r="R19" s="20"/>
      <c r="S19" s="20"/>
      <c r="T19" s="20"/>
    </row>
    <row r="20" spans="1:20" s="18" customFormat="1" ht="24.75" customHeight="1">
      <c r="A20" s="125">
        <v>10</v>
      </c>
      <c r="B20" s="1046">
        <v>32.5</v>
      </c>
      <c r="C20" s="1047"/>
      <c r="D20" s="126">
        <v>6.7</v>
      </c>
      <c r="E20" s="127">
        <v>1178.375</v>
      </c>
      <c r="F20" s="128">
        <f t="shared" si="3"/>
        <v>38.2971875</v>
      </c>
      <c r="G20" s="129">
        <v>1.6E-2</v>
      </c>
      <c r="H20" s="130">
        <f t="shared" si="1"/>
        <v>0.96290071428571433</v>
      </c>
      <c r="I20" s="30">
        <v>273</v>
      </c>
      <c r="J20" s="156">
        <f t="shared" si="2"/>
        <v>0.26287189500000002</v>
      </c>
      <c r="K20" s="971"/>
      <c r="L20" s="972"/>
      <c r="M20" s="973"/>
      <c r="O20" s="20"/>
      <c r="P20" s="20"/>
      <c r="Q20" s="20"/>
      <c r="R20" s="20"/>
      <c r="S20" s="20"/>
      <c r="T20" s="20"/>
    </row>
    <row r="21" spans="1:20" s="18" customFormat="1" ht="24.75" customHeight="1">
      <c r="A21" s="125">
        <v>11</v>
      </c>
      <c r="B21" s="1046">
        <v>32.5</v>
      </c>
      <c r="C21" s="1047"/>
      <c r="D21" s="126">
        <v>6.7</v>
      </c>
      <c r="E21" s="127">
        <v>1243.7190000000001</v>
      </c>
      <c r="F21" s="128">
        <f t="shared" si="3"/>
        <v>40.4208675</v>
      </c>
      <c r="G21" s="129">
        <v>1.6E-2</v>
      </c>
      <c r="H21" s="130">
        <f t="shared" si="1"/>
        <v>1.0162960971428572</v>
      </c>
      <c r="I21" s="30">
        <v>273</v>
      </c>
      <c r="J21" s="156">
        <f t="shared" si="2"/>
        <v>0.27744883451999997</v>
      </c>
      <c r="K21" s="971"/>
      <c r="L21" s="972"/>
      <c r="M21" s="973"/>
      <c r="O21" s="20"/>
      <c r="P21" s="20"/>
      <c r="Q21" s="20"/>
      <c r="R21" s="20"/>
      <c r="S21" s="20"/>
      <c r="T21" s="20"/>
    </row>
    <row r="22" spans="1:20" s="18" customFormat="1" ht="24.75" customHeight="1">
      <c r="A22" s="125">
        <v>12</v>
      </c>
      <c r="B22" s="1046">
        <v>32.5</v>
      </c>
      <c r="C22" s="1047"/>
      <c r="D22" s="126">
        <v>6.7</v>
      </c>
      <c r="E22" s="127">
        <v>1187.6790000000001</v>
      </c>
      <c r="F22" s="128">
        <f t="shared" si="3"/>
        <v>38.599567500000006</v>
      </c>
      <c r="G22" s="129">
        <v>1.6E-2</v>
      </c>
      <c r="H22" s="130">
        <f t="shared" si="1"/>
        <v>0.97050341142857166</v>
      </c>
      <c r="I22" s="30">
        <v>273</v>
      </c>
      <c r="J22" s="156">
        <f t="shared" si="2"/>
        <v>0.26494743132000009</v>
      </c>
      <c r="K22" s="971"/>
      <c r="L22" s="972"/>
      <c r="M22" s="973"/>
      <c r="O22" s="20"/>
      <c r="P22" s="20"/>
      <c r="Q22" s="20"/>
      <c r="R22" s="20"/>
      <c r="S22" s="20"/>
      <c r="T22" s="20"/>
    </row>
    <row r="23" spans="1:20" s="18" customFormat="1" ht="24.75" customHeight="1">
      <c r="A23" s="131" t="s">
        <v>469</v>
      </c>
      <c r="B23" s="1044"/>
      <c r="C23" s="1045"/>
      <c r="D23" s="132"/>
      <c r="E23" s="133">
        <f>SUM(E11:E22)</f>
        <v>14070.207999999999</v>
      </c>
      <c r="F23" s="133">
        <f>SUM(F11:F22)</f>
        <v>418.54266819999998</v>
      </c>
      <c r="G23" s="133"/>
      <c r="H23" s="134">
        <f>SUM(H11:H22)</f>
        <v>10.523358514742858</v>
      </c>
      <c r="I23" s="21"/>
      <c r="J23" s="157">
        <f>SUM(J11:J22)</f>
        <v>2.8728768745247999</v>
      </c>
      <c r="K23" s="974"/>
      <c r="L23" s="975"/>
      <c r="M23" s="976"/>
      <c r="O23" s="20"/>
      <c r="P23" s="20"/>
      <c r="Q23" s="20"/>
      <c r="R23" s="20"/>
      <c r="S23" s="20"/>
      <c r="T23" s="20"/>
    </row>
    <row r="24" spans="1:20" s="18" customFormat="1" ht="64.5" customHeight="1">
      <c r="A24" s="135"/>
      <c r="B24" s="136"/>
      <c r="C24" s="136"/>
      <c r="D24" s="136"/>
      <c r="E24" s="136"/>
      <c r="F24" s="136"/>
      <c r="G24" s="136"/>
      <c r="H24" s="137"/>
      <c r="I24" s="158" t="s">
        <v>991</v>
      </c>
      <c r="J24" s="159">
        <f>+'1.3.3 BỂ XỬ LÝ NƯỚC THẢI TT '!Q44</f>
        <v>0.4801026473322394</v>
      </c>
      <c r="K24" s="153"/>
      <c r="L24" s="153"/>
      <c r="M24" s="154"/>
      <c r="O24" s="20"/>
      <c r="P24" s="20"/>
      <c r="Q24" s="20"/>
      <c r="R24" s="20"/>
      <c r="S24" s="20"/>
      <c r="T24" s="20"/>
    </row>
    <row r="25" spans="1:20" s="18" customFormat="1" ht="80.25" customHeight="1">
      <c r="A25" s="138"/>
      <c r="B25" s="139"/>
      <c r="C25" s="139"/>
      <c r="D25" s="139"/>
      <c r="E25" s="139"/>
      <c r="F25" s="139"/>
      <c r="G25" s="139"/>
      <c r="H25" s="140"/>
      <c r="I25" s="160" t="s">
        <v>992</v>
      </c>
      <c r="J25" s="161">
        <f>+J23+J24</f>
        <v>3.3529795218570393</v>
      </c>
      <c r="K25" s="162"/>
      <c r="L25" s="162"/>
      <c r="M25" s="47"/>
      <c r="O25" s="20"/>
      <c r="P25" s="20"/>
      <c r="Q25" s="20"/>
      <c r="R25" s="20"/>
      <c r="S25" s="20"/>
      <c r="T25" s="20"/>
    </row>
    <row r="26" spans="1:20" s="18" customFormat="1" ht="16.5">
      <c r="A26" s="141"/>
      <c r="B26" s="142"/>
      <c r="C26" s="143"/>
      <c r="D26" s="142"/>
      <c r="E26" s="144">
        <f>+E23/27096</f>
        <v>0.51927251254797746</v>
      </c>
      <c r="F26" s="143"/>
      <c r="G26" s="143"/>
      <c r="H26" s="145"/>
      <c r="I26" s="163"/>
      <c r="J26" s="164"/>
      <c r="K26" s="165"/>
      <c r="L26" s="166"/>
      <c r="M26" s="167"/>
      <c r="O26" s="20"/>
      <c r="P26" s="20"/>
      <c r="Q26" s="20"/>
      <c r="R26" s="20"/>
      <c r="S26" s="20"/>
      <c r="T26" s="20"/>
    </row>
    <row r="27" spans="1:20" s="18" customFormat="1" ht="16.5">
      <c r="A27" s="965" t="s">
        <v>993</v>
      </c>
      <c r="B27" s="965"/>
      <c r="C27" s="965"/>
      <c r="D27" s="965"/>
      <c r="E27" s="965"/>
      <c r="F27" s="965"/>
      <c r="G27" s="965"/>
      <c r="H27" s="965"/>
      <c r="I27" s="965"/>
      <c r="J27" s="965"/>
      <c r="K27" s="965"/>
      <c r="L27" s="965"/>
      <c r="M27" s="965"/>
      <c r="O27" s="20"/>
      <c r="P27" s="20"/>
      <c r="Q27" s="20"/>
      <c r="R27" s="20"/>
      <c r="S27" s="20"/>
      <c r="T27" s="20"/>
    </row>
    <row r="28" spans="1:20" s="18" customFormat="1" ht="110.45" customHeight="1">
      <c r="A28" s="1041" t="s">
        <v>994</v>
      </c>
      <c r="B28" s="587" t="s">
        <v>995</v>
      </c>
      <c r="C28" s="1036" t="s">
        <v>996</v>
      </c>
      <c r="D28" s="1036"/>
      <c r="E28" s="1036"/>
      <c r="F28" s="1036"/>
      <c r="G28" s="1036"/>
      <c r="H28" s="1036"/>
      <c r="I28" s="1036"/>
      <c r="J28" s="1036"/>
      <c r="K28" s="1036"/>
      <c r="L28" s="1036"/>
      <c r="M28" s="1036"/>
      <c r="O28" s="20"/>
      <c r="P28" s="20"/>
      <c r="Q28" s="20"/>
      <c r="R28" s="20"/>
      <c r="S28" s="20"/>
      <c r="T28" s="20"/>
    </row>
    <row r="29" spans="1:20" s="18" customFormat="1" ht="27.6" customHeight="1">
      <c r="A29" s="1042"/>
      <c r="B29" s="587" t="s">
        <v>513</v>
      </c>
      <c r="C29" s="1036" t="s">
        <v>997</v>
      </c>
      <c r="D29" s="1036"/>
      <c r="E29" s="1036"/>
      <c r="F29" s="1036"/>
      <c r="G29" s="1036"/>
      <c r="H29" s="1036"/>
      <c r="I29" s="1036"/>
      <c r="J29" s="1036"/>
      <c r="K29" s="1036"/>
      <c r="L29" s="1036"/>
      <c r="M29" s="1036"/>
      <c r="O29" s="20"/>
      <c r="P29" s="20"/>
      <c r="Q29" s="20"/>
      <c r="R29" s="20"/>
      <c r="S29" s="20"/>
      <c r="T29" s="20"/>
    </row>
    <row r="30" spans="1:20" s="18" customFormat="1" ht="46.15" customHeight="1">
      <c r="A30" s="1042"/>
      <c r="B30" s="588" t="s">
        <v>515</v>
      </c>
      <c r="C30" s="1036" t="s">
        <v>998</v>
      </c>
      <c r="D30" s="1036"/>
      <c r="E30" s="1036"/>
      <c r="F30" s="1036"/>
      <c r="G30" s="1036"/>
      <c r="H30" s="1036"/>
      <c r="I30" s="1036"/>
      <c r="J30" s="1036"/>
      <c r="K30" s="1036"/>
      <c r="L30" s="1036"/>
      <c r="M30" s="1036"/>
      <c r="O30" s="20"/>
      <c r="P30" s="20"/>
      <c r="Q30" s="20"/>
      <c r="R30" s="20"/>
      <c r="S30" s="20"/>
      <c r="T30" s="20"/>
    </row>
    <row r="31" spans="1:20" s="18" customFormat="1" ht="42.6" customHeight="1">
      <c r="A31" s="1043"/>
      <c r="B31" s="588" t="s">
        <v>517</v>
      </c>
      <c r="C31" s="1036" t="s">
        <v>948</v>
      </c>
      <c r="D31" s="1036"/>
      <c r="E31" s="1036"/>
      <c r="F31" s="1036"/>
      <c r="G31" s="1036"/>
      <c r="H31" s="1036"/>
      <c r="I31" s="1036"/>
      <c r="J31" s="1036"/>
      <c r="K31" s="1036"/>
      <c r="L31" s="1036"/>
      <c r="M31" s="1036"/>
      <c r="O31" s="20"/>
      <c r="P31" s="20"/>
      <c r="Q31" s="20"/>
      <c r="R31" s="20"/>
      <c r="S31" s="20"/>
      <c r="T31" s="20"/>
    </row>
    <row r="32" spans="1:20" ht="42.6" customHeight="1">
      <c r="A32" s="1037" t="s">
        <v>965</v>
      </c>
      <c r="B32" s="1038"/>
      <c r="C32" s="1039" t="s">
        <v>948</v>
      </c>
      <c r="D32" s="1039"/>
      <c r="E32" s="1039"/>
      <c r="F32" s="1039"/>
      <c r="G32" s="1039"/>
      <c r="H32" s="1039"/>
      <c r="I32" s="1039"/>
      <c r="J32" s="1039"/>
      <c r="K32" s="1039"/>
      <c r="L32" s="1039"/>
      <c r="M32" s="1040"/>
    </row>
  </sheetData>
  <mergeCells count="34">
    <mergeCell ref="A5:E5"/>
    <mergeCell ref="F5:G5"/>
    <mergeCell ref="A6:L6"/>
    <mergeCell ref="L8:M8"/>
    <mergeCell ref="B9:C9"/>
    <mergeCell ref="K9:M9"/>
    <mergeCell ref="O17:S17"/>
    <mergeCell ref="B10:C10"/>
    <mergeCell ref="B11:C11"/>
    <mergeCell ref="B12:C12"/>
    <mergeCell ref="O12:S12"/>
    <mergeCell ref="B13:C13"/>
    <mergeCell ref="B21:C21"/>
    <mergeCell ref="B22:C22"/>
    <mergeCell ref="B14:C14"/>
    <mergeCell ref="B15:C15"/>
    <mergeCell ref="B16:C16"/>
    <mergeCell ref="B17:C17"/>
    <mergeCell ref="A1:B4"/>
    <mergeCell ref="C1:J4"/>
    <mergeCell ref="K1:M4"/>
    <mergeCell ref="C31:M31"/>
    <mergeCell ref="A32:B32"/>
    <mergeCell ref="C32:M32"/>
    <mergeCell ref="A28:A31"/>
    <mergeCell ref="K10:M23"/>
    <mergeCell ref="B23:C23"/>
    <mergeCell ref="A27:M27"/>
    <mergeCell ref="C28:M28"/>
    <mergeCell ref="C29:M29"/>
    <mergeCell ref="C30:M30"/>
    <mergeCell ref="B18:C18"/>
    <mergeCell ref="B19:C19"/>
    <mergeCell ref="B20:C20"/>
  </mergeCells>
  <pageMargins left="0.98425196850393704" right="0.59055118110236204" top="0.78740157480314998" bottom="0.78740157480314998" header="0.31496062992126" footer="0.31496062992126"/>
  <pageSetup paperSize="9" scale="40" orientation="landscape"/>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0"/>
    <pageSetUpPr fitToPage="1"/>
  </sheetPr>
  <dimension ref="A1:Q29"/>
  <sheetViews>
    <sheetView topLeftCell="A14" zoomScale="50" zoomScaleNormal="50" workbookViewId="0">
      <selection activeCell="F9" sqref="F9"/>
    </sheetView>
  </sheetViews>
  <sheetFormatPr defaultColWidth="9.28515625" defaultRowHeight="15"/>
  <cols>
    <col min="1" max="1" width="14.42578125" style="90" customWidth="1"/>
    <col min="2" max="2" width="23.140625" style="90" customWidth="1"/>
    <col min="3" max="6" width="28.28515625" style="90" customWidth="1"/>
    <col min="7" max="8" width="25.42578125" style="90" customWidth="1"/>
    <col min="9" max="9" width="23.28515625" style="90" customWidth="1"/>
    <col min="10" max="16384" width="9.28515625" style="90"/>
  </cols>
  <sheetData>
    <row r="1" spans="1:8" ht="25.9" customHeight="1">
      <c r="A1" s="1054"/>
      <c r="B1" s="1054"/>
      <c r="C1" s="1055" t="s">
        <v>999</v>
      </c>
      <c r="D1" s="780"/>
      <c r="E1" s="780"/>
      <c r="F1" s="780"/>
      <c r="G1" s="780" t="s">
        <v>1124</v>
      </c>
      <c r="H1" s="780"/>
    </row>
    <row r="2" spans="1:8" ht="25.9" customHeight="1">
      <c r="A2" s="1054"/>
      <c r="B2" s="1054"/>
      <c r="C2" s="1055"/>
      <c r="D2" s="780"/>
      <c r="E2" s="780"/>
      <c r="F2" s="780"/>
      <c r="G2" s="780"/>
      <c r="H2" s="780"/>
    </row>
    <row r="3" spans="1:8" ht="25.9" customHeight="1">
      <c r="A3" s="1054"/>
      <c r="B3" s="1054"/>
      <c r="C3" s="1055"/>
      <c r="D3" s="780"/>
      <c r="E3" s="780"/>
      <c r="F3" s="780"/>
      <c r="G3" s="780"/>
      <c r="H3" s="780"/>
    </row>
    <row r="4" spans="1:8" ht="25.9" customHeight="1">
      <c r="A4" s="1054"/>
      <c r="B4" s="1054"/>
      <c r="C4" s="1055"/>
      <c r="D4" s="780"/>
      <c r="E4" s="780"/>
      <c r="F4" s="780"/>
      <c r="G4" s="780"/>
      <c r="H4" s="780"/>
    </row>
    <row r="5" spans="1:8">
      <c r="A5" s="1054"/>
      <c r="B5" s="1054"/>
      <c r="C5" s="1055"/>
      <c r="D5" s="780"/>
      <c r="E5" s="780"/>
      <c r="F5" s="780"/>
      <c r="G5" s="780"/>
      <c r="H5" s="780"/>
    </row>
    <row r="6" spans="1:8" ht="16.5">
      <c r="A6" s="91" t="s">
        <v>1000</v>
      </c>
      <c r="B6" s="24"/>
      <c r="C6" s="23"/>
      <c r="D6" s="23"/>
      <c r="E6" s="23"/>
      <c r="F6" s="23"/>
      <c r="G6" s="23"/>
      <c r="H6" s="24"/>
    </row>
    <row r="7" spans="1:8" ht="16.5">
      <c r="A7" s="91" t="s">
        <v>1001</v>
      </c>
      <c r="B7" s="24"/>
      <c r="C7" s="23"/>
      <c r="D7" s="23"/>
      <c r="E7" s="23"/>
      <c r="F7" s="23"/>
      <c r="G7" s="23"/>
      <c r="H7" s="24"/>
    </row>
    <row r="8" spans="1:8" ht="19.5">
      <c r="A8" s="26" t="s">
        <v>492</v>
      </c>
      <c r="B8" s="24"/>
      <c r="C8" s="23"/>
      <c r="D8" s="23"/>
      <c r="E8" s="23"/>
      <c r="F8" s="23"/>
      <c r="G8" s="23"/>
      <c r="H8" s="24"/>
    </row>
    <row r="9" spans="1:8" ht="16.5">
      <c r="A9" s="27" t="s">
        <v>493</v>
      </c>
      <c r="B9" s="24"/>
      <c r="C9" s="23"/>
      <c r="D9" s="23"/>
      <c r="E9" s="23"/>
      <c r="F9" s="23"/>
      <c r="G9" s="23"/>
      <c r="H9" s="24"/>
    </row>
    <row r="10" spans="1:8" ht="16.5">
      <c r="A10" s="92"/>
      <c r="B10" s="93"/>
      <c r="C10" s="94"/>
      <c r="D10" s="94"/>
      <c r="E10" s="94"/>
      <c r="F10" s="94"/>
      <c r="G10" s="94"/>
      <c r="H10" s="93"/>
    </row>
    <row r="11" spans="1:8" ht="84" customHeight="1">
      <c r="A11" s="675" t="s">
        <v>494</v>
      </c>
      <c r="B11" s="675" t="s">
        <v>554</v>
      </c>
      <c r="C11" s="36" t="s">
        <v>1002</v>
      </c>
      <c r="D11" s="35" t="s">
        <v>1003</v>
      </c>
      <c r="E11" s="35" t="s">
        <v>1004</v>
      </c>
      <c r="F11" s="35" t="s">
        <v>500</v>
      </c>
      <c r="G11" s="675" t="s">
        <v>504</v>
      </c>
      <c r="H11" s="675" t="s">
        <v>505</v>
      </c>
    </row>
    <row r="12" spans="1:8" ht="42" customHeight="1">
      <c r="A12" s="676"/>
      <c r="B12" s="676"/>
      <c r="C12" s="37" t="s">
        <v>1005</v>
      </c>
      <c r="D12" s="28" t="s">
        <v>1006</v>
      </c>
      <c r="E12" s="28" t="s">
        <v>1007</v>
      </c>
      <c r="F12" s="28" t="s">
        <v>502</v>
      </c>
      <c r="G12" s="676"/>
      <c r="H12" s="676"/>
    </row>
    <row r="13" spans="1:8" ht="40.5" customHeight="1">
      <c r="A13" s="567" t="s">
        <v>510</v>
      </c>
      <c r="B13" s="567" t="s">
        <v>511</v>
      </c>
      <c r="C13" s="589" t="s">
        <v>575</v>
      </c>
      <c r="D13" s="567" t="s">
        <v>513</v>
      </c>
      <c r="E13" s="567" t="s">
        <v>577</v>
      </c>
      <c r="F13" s="30" t="s">
        <v>1008</v>
      </c>
      <c r="G13" s="590" t="s">
        <v>516</v>
      </c>
      <c r="H13" s="30" t="s">
        <v>1009</v>
      </c>
    </row>
    <row r="14" spans="1:8" ht="40.5" customHeight="1">
      <c r="A14" s="30">
        <v>1</v>
      </c>
      <c r="B14" s="32"/>
      <c r="C14" s="97">
        <v>0.13</v>
      </c>
      <c r="D14" s="98">
        <v>0.01</v>
      </c>
      <c r="E14" s="98">
        <v>1.5714285714285701</v>
      </c>
      <c r="F14" s="99"/>
      <c r="G14" s="100">
        <v>273</v>
      </c>
      <c r="H14" s="101"/>
    </row>
    <row r="15" spans="1:8" ht="40.5" customHeight="1">
      <c r="A15" s="30">
        <v>2</v>
      </c>
      <c r="B15" s="32"/>
      <c r="C15" s="97">
        <v>0.13</v>
      </c>
      <c r="D15" s="98">
        <v>0.01</v>
      </c>
      <c r="E15" s="98">
        <v>1.5714285714285701</v>
      </c>
      <c r="F15" s="99"/>
      <c r="G15" s="100">
        <v>273</v>
      </c>
      <c r="H15" s="101"/>
    </row>
    <row r="16" spans="1:8" ht="40.5" customHeight="1">
      <c r="A16" s="30">
        <v>3</v>
      </c>
      <c r="B16" s="32"/>
      <c r="C16" s="97">
        <v>0.13</v>
      </c>
      <c r="D16" s="98">
        <v>0.01</v>
      </c>
      <c r="E16" s="98">
        <v>1.5714285714285701</v>
      </c>
      <c r="F16" s="99"/>
      <c r="G16" s="100">
        <v>273</v>
      </c>
      <c r="H16" s="101"/>
    </row>
    <row r="17" spans="1:17" ht="40.5" customHeight="1">
      <c r="A17" s="30">
        <v>4</v>
      </c>
      <c r="B17" s="32"/>
      <c r="C17" s="97">
        <v>0.13</v>
      </c>
      <c r="D17" s="98">
        <v>0.01</v>
      </c>
      <c r="E17" s="98">
        <v>1.5714285714285701</v>
      </c>
      <c r="F17" s="99"/>
      <c r="G17" s="100">
        <v>273</v>
      </c>
      <c r="H17" s="101"/>
    </row>
    <row r="18" spans="1:17" ht="40.5" customHeight="1">
      <c r="A18" s="30">
        <v>5</v>
      </c>
      <c r="B18" s="32"/>
      <c r="C18" s="97">
        <v>0.13</v>
      </c>
      <c r="D18" s="98">
        <v>0.01</v>
      </c>
      <c r="E18" s="98">
        <v>1.5714285714285701</v>
      </c>
      <c r="F18" s="99"/>
      <c r="G18" s="100">
        <v>273</v>
      </c>
      <c r="H18" s="101"/>
    </row>
    <row r="19" spans="1:17" ht="40.5" customHeight="1">
      <c r="A19" s="30">
        <v>6</v>
      </c>
      <c r="B19" s="32"/>
      <c r="C19" s="97">
        <v>0.13</v>
      </c>
      <c r="D19" s="98">
        <v>0.01</v>
      </c>
      <c r="E19" s="98">
        <v>1.5714285714285701</v>
      </c>
      <c r="F19" s="99"/>
      <c r="G19" s="100">
        <v>273</v>
      </c>
      <c r="H19" s="101"/>
    </row>
    <row r="20" spans="1:17" ht="40.5" customHeight="1">
      <c r="A20" s="30">
        <v>7</v>
      </c>
      <c r="B20" s="32">
        <v>100</v>
      </c>
      <c r="C20" s="97">
        <v>0.13</v>
      </c>
      <c r="D20" s="98">
        <v>0.01</v>
      </c>
      <c r="E20" s="98">
        <v>1.5714285714285701</v>
      </c>
      <c r="F20" s="99">
        <f>+B20*C20*D20*E20</f>
        <v>0.20428571428571413</v>
      </c>
      <c r="G20" s="100">
        <v>273</v>
      </c>
      <c r="H20" s="101">
        <f>+F20*G20/1000</f>
        <v>5.5769999999999952E-2</v>
      </c>
    </row>
    <row r="21" spans="1:17" ht="40.5" customHeight="1">
      <c r="A21" s="30">
        <v>8</v>
      </c>
      <c r="B21" s="32"/>
      <c r="C21" s="97">
        <v>0.13</v>
      </c>
      <c r="D21" s="98">
        <v>0.01</v>
      </c>
      <c r="E21" s="98">
        <v>1.5714285714285701</v>
      </c>
      <c r="F21" s="99"/>
      <c r="G21" s="100">
        <v>273</v>
      </c>
      <c r="H21" s="101"/>
    </row>
    <row r="22" spans="1:17" ht="40.5" customHeight="1">
      <c r="A22" s="30">
        <v>9</v>
      </c>
      <c r="B22" s="32"/>
      <c r="C22" s="97">
        <v>0.13</v>
      </c>
      <c r="D22" s="98">
        <v>0.01</v>
      </c>
      <c r="E22" s="98">
        <v>1.5714285714285701</v>
      </c>
      <c r="F22" s="99"/>
      <c r="G22" s="100">
        <v>273</v>
      </c>
      <c r="H22" s="101"/>
    </row>
    <row r="23" spans="1:17" ht="40.5" customHeight="1">
      <c r="A23" s="30">
        <v>10</v>
      </c>
      <c r="B23" s="32"/>
      <c r="C23" s="97">
        <v>0.13</v>
      </c>
      <c r="D23" s="98">
        <v>0.01</v>
      </c>
      <c r="E23" s="98">
        <v>1.5714285714285701</v>
      </c>
      <c r="F23" s="99"/>
      <c r="G23" s="100">
        <v>273</v>
      </c>
      <c r="H23" s="101"/>
    </row>
    <row r="24" spans="1:17" ht="40.5" customHeight="1">
      <c r="A24" s="30">
        <v>11</v>
      </c>
      <c r="B24" s="32"/>
      <c r="C24" s="97">
        <v>0.13</v>
      </c>
      <c r="D24" s="98">
        <v>0.01</v>
      </c>
      <c r="E24" s="98">
        <v>1.5714285714285701</v>
      </c>
      <c r="F24" s="99"/>
      <c r="G24" s="100">
        <v>273</v>
      </c>
      <c r="H24" s="101"/>
    </row>
    <row r="25" spans="1:17" ht="40.5" customHeight="1">
      <c r="A25" s="30">
        <v>12</v>
      </c>
      <c r="B25" s="32"/>
      <c r="C25" s="97">
        <v>0.13</v>
      </c>
      <c r="D25" s="98">
        <v>0.01</v>
      </c>
      <c r="E25" s="98">
        <v>1.5714285714285701</v>
      </c>
      <c r="F25" s="99"/>
      <c r="G25" s="100">
        <v>273</v>
      </c>
      <c r="H25" s="101"/>
    </row>
    <row r="26" spans="1:17" ht="40.5" customHeight="1">
      <c r="A26" s="102" t="s">
        <v>469</v>
      </c>
      <c r="B26" s="103">
        <f>SUM(B14:B25)</f>
        <v>100</v>
      </c>
      <c r="C26" s="104"/>
      <c r="D26" s="105"/>
      <c r="E26" s="105"/>
      <c r="F26" s="106">
        <f>SUM(F14:F25)</f>
        <v>0.20428571428571413</v>
      </c>
      <c r="G26" s="107"/>
      <c r="H26" s="106">
        <f>SUM(H14:H25)</f>
        <v>5.5769999999999952E-2</v>
      </c>
    </row>
    <row r="27" spans="1:17" ht="22.9" customHeight="1">
      <c r="A27" s="108"/>
      <c r="B27" s="109"/>
      <c r="C27" s="110"/>
      <c r="D27" s="110"/>
      <c r="E27" s="110"/>
      <c r="F27" s="111"/>
      <c r="G27" s="112"/>
      <c r="H27" s="111"/>
    </row>
    <row r="28" spans="1:17" ht="16.5">
      <c r="A28" s="23" t="s">
        <v>1010</v>
      </c>
      <c r="B28" s="23"/>
      <c r="C28" s="23"/>
      <c r="D28" s="23"/>
      <c r="E28" s="23"/>
      <c r="F28" s="23"/>
      <c r="G28" s="23"/>
      <c r="H28" s="23"/>
    </row>
    <row r="29" spans="1:17" s="89" customFormat="1" ht="84" customHeight="1">
      <c r="A29" s="1056" t="s">
        <v>1011</v>
      </c>
      <c r="B29" s="1020"/>
      <c r="C29" s="1020"/>
      <c r="D29" s="1020"/>
      <c r="E29" s="1020"/>
      <c r="F29" s="1020"/>
      <c r="G29" s="1020"/>
      <c r="H29" s="1020"/>
      <c r="I29" s="113"/>
      <c r="J29" s="113"/>
      <c r="K29" s="113"/>
      <c r="L29" s="113"/>
      <c r="M29" s="113"/>
      <c r="N29" s="113"/>
      <c r="O29" s="113"/>
      <c r="P29" s="113"/>
      <c r="Q29" s="113"/>
    </row>
  </sheetData>
  <mergeCells count="8">
    <mergeCell ref="A1:B5"/>
    <mergeCell ref="G1:H5"/>
    <mergeCell ref="C1:F5"/>
    <mergeCell ref="A29:H29"/>
    <mergeCell ref="A11:A12"/>
    <mergeCell ref="B11:B12"/>
    <mergeCell ref="G11:G12"/>
    <mergeCell ref="H11:H12"/>
  </mergeCells>
  <pageMargins left="0.98425196850393704" right="0.59055118110236204" top="0.78740157480314998" bottom="0.78740157480314998" header="0.31496062992126" footer="0.31496062992126"/>
  <pageSetup scale="5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sheetPr>
  <dimension ref="A1:W35"/>
  <sheetViews>
    <sheetView topLeftCell="A8" zoomScale="70" zoomScaleNormal="70" workbookViewId="0">
      <selection activeCell="P1" sqref="P1:Q3"/>
    </sheetView>
  </sheetViews>
  <sheetFormatPr defaultColWidth="9" defaultRowHeight="15"/>
  <cols>
    <col min="1" max="1" width="5.42578125" style="60" customWidth="1"/>
    <col min="2" max="2" width="25" style="61" customWidth="1"/>
    <col min="3" max="3" width="16.28515625" style="61" customWidth="1"/>
    <col min="4" max="4" width="20.42578125" style="61" customWidth="1"/>
    <col min="5" max="9" width="13.42578125" style="60" customWidth="1"/>
    <col min="10" max="15" width="13.5703125" style="60" customWidth="1"/>
    <col min="16" max="16" width="17.42578125" style="60" customWidth="1"/>
    <col min="17" max="17" width="19.140625" style="60" customWidth="1"/>
    <col min="18" max="260" width="9.140625" style="61"/>
    <col min="261" max="261" width="14.5703125" style="61" customWidth="1"/>
    <col min="262" max="262" width="26.42578125" style="61" customWidth="1"/>
    <col min="263" max="263" width="19" style="61" customWidth="1"/>
    <col min="264" max="265" width="9.140625" style="61"/>
    <col min="266" max="266" width="13" style="61" customWidth="1"/>
    <col min="267" max="267" width="15.5703125" style="61" customWidth="1"/>
    <col min="268" max="268" width="13.140625" style="61" customWidth="1"/>
    <col min="269" max="516" width="9.140625" style="61"/>
    <col min="517" max="517" width="14.5703125" style="61" customWidth="1"/>
    <col min="518" max="518" width="26.42578125" style="61" customWidth="1"/>
    <col min="519" max="519" width="19" style="61" customWidth="1"/>
    <col min="520" max="521" width="9.140625" style="61"/>
    <col min="522" max="522" width="13" style="61" customWidth="1"/>
    <col min="523" max="523" width="15.5703125" style="61" customWidth="1"/>
    <col min="524" max="524" width="13.140625" style="61" customWidth="1"/>
    <col min="525" max="772" width="9.140625" style="61"/>
    <col min="773" max="773" width="14.5703125" style="61" customWidth="1"/>
    <col min="774" max="774" width="26.42578125" style="61" customWidth="1"/>
    <col min="775" max="775" width="19" style="61" customWidth="1"/>
    <col min="776" max="777" width="9.140625" style="61"/>
    <col min="778" max="778" width="13" style="61" customWidth="1"/>
    <col min="779" max="779" width="15.5703125" style="61" customWidth="1"/>
    <col min="780" max="780" width="13.140625" style="61" customWidth="1"/>
    <col min="781" max="1028" width="9.140625" style="61"/>
    <col min="1029" max="1029" width="14.5703125" style="61" customWidth="1"/>
    <col min="1030" max="1030" width="26.42578125" style="61" customWidth="1"/>
    <col min="1031" max="1031" width="19" style="61" customWidth="1"/>
    <col min="1032" max="1033" width="9.140625" style="61"/>
    <col min="1034" max="1034" width="13" style="61" customWidth="1"/>
    <col min="1035" max="1035" width="15.5703125" style="61" customWidth="1"/>
    <col min="1036" max="1036" width="13.140625" style="61" customWidth="1"/>
    <col min="1037" max="1284" width="9.140625" style="61"/>
    <col min="1285" max="1285" width="14.5703125" style="61" customWidth="1"/>
    <col min="1286" max="1286" width="26.42578125" style="61" customWidth="1"/>
    <col min="1287" max="1287" width="19" style="61" customWidth="1"/>
    <col min="1288" max="1289" width="9.140625" style="61"/>
    <col min="1290" max="1290" width="13" style="61" customWidth="1"/>
    <col min="1291" max="1291" width="15.5703125" style="61" customWidth="1"/>
    <col min="1292" max="1292" width="13.140625" style="61" customWidth="1"/>
    <col min="1293" max="1540" width="9.140625" style="61"/>
    <col min="1541" max="1541" width="14.5703125" style="61" customWidth="1"/>
    <col min="1542" max="1542" width="26.42578125" style="61" customWidth="1"/>
    <col min="1543" max="1543" width="19" style="61" customWidth="1"/>
    <col min="1544" max="1545" width="9.140625" style="61"/>
    <col min="1546" max="1546" width="13" style="61" customWidth="1"/>
    <col min="1547" max="1547" width="15.5703125" style="61" customWidth="1"/>
    <col min="1548" max="1548" width="13.140625" style="61" customWidth="1"/>
    <col min="1549" max="1796" width="9.140625" style="61"/>
    <col min="1797" max="1797" width="14.5703125" style="61" customWidth="1"/>
    <col min="1798" max="1798" width="26.42578125" style="61" customWidth="1"/>
    <col min="1799" max="1799" width="19" style="61" customWidth="1"/>
    <col min="1800" max="1801" width="9.140625" style="61"/>
    <col min="1802" max="1802" width="13" style="61" customWidth="1"/>
    <col min="1803" max="1803" width="15.5703125" style="61" customWidth="1"/>
    <col min="1804" max="1804" width="13.140625" style="61" customWidth="1"/>
    <col min="1805" max="2052" width="9.140625" style="61"/>
    <col min="2053" max="2053" width="14.5703125" style="61" customWidth="1"/>
    <col min="2054" max="2054" width="26.42578125" style="61" customWidth="1"/>
    <col min="2055" max="2055" width="19" style="61" customWidth="1"/>
    <col min="2056" max="2057" width="9.140625" style="61"/>
    <col min="2058" max="2058" width="13" style="61" customWidth="1"/>
    <col min="2059" max="2059" width="15.5703125" style="61" customWidth="1"/>
    <col min="2060" max="2060" width="13.140625" style="61" customWidth="1"/>
    <col min="2061" max="2308" width="9.140625" style="61"/>
    <col min="2309" max="2309" width="14.5703125" style="61" customWidth="1"/>
    <col min="2310" max="2310" width="26.42578125" style="61" customWidth="1"/>
    <col min="2311" max="2311" width="19" style="61" customWidth="1"/>
    <col min="2312" max="2313" width="9.140625" style="61"/>
    <col min="2314" max="2314" width="13" style="61" customWidth="1"/>
    <col min="2315" max="2315" width="15.5703125" style="61" customWidth="1"/>
    <col min="2316" max="2316" width="13.140625" style="61" customWidth="1"/>
    <col min="2317" max="2564" width="9.140625" style="61"/>
    <col min="2565" max="2565" width="14.5703125" style="61" customWidth="1"/>
    <col min="2566" max="2566" width="26.42578125" style="61" customWidth="1"/>
    <col min="2567" max="2567" width="19" style="61" customWidth="1"/>
    <col min="2568" max="2569" width="9.140625" style="61"/>
    <col min="2570" max="2570" width="13" style="61" customWidth="1"/>
    <col min="2571" max="2571" width="15.5703125" style="61" customWidth="1"/>
    <col min="2572" max="2572" width="13.140625" style="61" customWidth="1"/>
    <col min="2573" max="2820" width="9.140625" style="61"/>
    <col min="2821" max="2821" width="14.5703125" style="61" customWidth="1"/>
    <col min="2822" max="2822" width="26.42578125" style="61" customWidth="1"/>
    <col min="2823" max="2823" width="19" style="61" customWidth="1"/>
    <col min="2824" max="2825" width="9.140625" style="61"/>
    <col min="2826" max="2826" width="13" style="61" customWidth="1"/>
    <col min="2827" max="2827" width="15.5703125" style="61" customWidth="1"/>
    <col min="2828" max="2828" width="13.140625" style="61" customWidth="1"/>
    <col min="2829" max="3076" width="9.140625" style="61"/>
    <col min="3077" max="3077" width="14.5703125" style="61" customWidth="1"/>
    <col min="3078" max="3078" width="26.42578125" style="61" customWidth="1"/>
    <col min="3079" max="3079" width="19" style="61" customWidth="1"/>
    <col min="3080" max="3081" width="9.140625" style="61"/>
    <col min="3082" max="3082" width="13" style="61" customWidth="1"/>
    <col min="3083" max="3083" width="15.5703125" style="61" customWidth="1"/>
    <col min="3084" max="3084" width="13.140625" style="61" customWidth="1"/>
    <col min="3085" max="3332" width="9.140625" style="61"/>
    <col min="3333" max="3333" width="14.5703125" style="61" customWidth="1"/>
    <col min="3334" max="3334" width="26.42578125" style="61" customWidth="1"/>
    <col min="3335" max="3335" width="19" style="61" customWidth="1"/>
    <col min="3336" max="3337" width="9.140625" style="61"/>
    <col min="3338" max="3338" width="13" style="61" customWidth="1"/>
    <col min="3339" max="3339" width="15.5703125" style="61" customWidth="1"/>
    <col min="3340" max="3340" width="13.140625" style="61" customWidth="1"/>
    <col min="3341" max="3588" width="9.140625" style="61"/>
    <col min="3589" max="3589" width="14.5703125" style="61" customWidth="1"/>
    <col min="3590" max="3590" width="26.42578125" style="61" customWidth="1"/>
    <col min="3591" max="3591" width="19" style="61" customWidth="1"/>
    <col min="3592" max="3593" width="9.140625" style="61"/>
    <col min="3594" max="3594" width="13" style="61" customWidth="1"/>
    <col min="3595" max="3595" width="15.5703125" style="61" customWidth="1"/>
    <col min="3596" max="3596" width="13.140625" style="61" customWidth="1"/>
    <col min="3597" max="3844" width="9.140625" style="61"/>
    <col min="3845" max="3845" width="14.5703125" style="61" customWidth="1"/>
    <col min="3846" max="3846" width="26.42578125" style="61" customWidth="1"/>
    <col min="3847" max="3847" width="19" style="61" customWidth="1"/>
    <col min="3848" max="3849" width="9.140625" style="61"/>
    <col min="3850" max="3850" width="13" style="61" customWidth="1"/>
    <col min="3851" max="3851" width="15.5703125" style="61" customWidth="1"/>
    <col min="3852" max="3852" width="13.140625" style="61" customWidth="1"/>
    <col min="3853" max="4100" width="9.140625" style="61"/>
    <col min="4101" max="4101" width="14.5703125" style="61" customWidth="1"/>
    <col min="4102" max="4102" width="26.42578125" style="61" customWidth="1"/>
    <col min="4103" max="4103" width="19" style="61" customWidth="1"/>
    <col min="4104" max="4105" width="9.140625" style="61"/>
    <col min="4106" max="4106" width="13" style="61" customWidth="1"/>
    <col min="4107" max="4107" width="15.5703125" style="61" customWidth="1"/>
    <col min="4108" max="4108" width="13.140625" style="61" customWidth="1"/>
    <col min="4109" max="4356" width="9.140625" style="61"/>
    <col min="4357" max="4357" width="14.5703125" style="61" customWidth="1"/>
    <col min="4358" max="4358" width="26.42578125" style="61" customWidth="1"/>
    <col min="4359" max="4359" width="19" style="61" customWidth="1"/>
    <col min="4360" max="4361" width="9.140625" style="61"/>
    <col min="4362" max="4362" width="13" style="61" customWidth="1"/>
    <col min="4363" max="4363" width="15.5703125" style="61" customWidth="1"/>
    <col min="4364" max="4364" width="13.140625" style="61" customWidth="1"/>
    <col min="4365" max="4612" width="9.140625" style="61"/>
    <col min="4613" max="4613" width="14.5703125" style="61" customWidth="1"/>
    <col min="4614" max="4614" width="26.42578125" style="61" customWidth="1"/>
    <col min="4615" max="4615" width="19" style="61" customWidth="1"/>
    <col min="4616" max="4617" width="9.140625" style="61"/>
    <col min="4618" max="4618" width="13" style="61" customWidth="1"/>
    <col min="4619" max="4619" width="15.5703125" style="61" customWidth="1"/>
    <col min="4620" max="4620" width="13.140625" style="61" customWidth="1"/>
    <col min="4621" max="4868" width="9.140625" style="61"/>
    <col min="4869" max="4869" width="14.5703125" style="61" customWidth="1"/>
    <col min="4870" max="4870" width="26.42578125" style="61" customWidth="1"/>
    <col min="4871" max="4871" width="19" style="61" customWidth="1"/>
    <col min="4872" max="4873" width="9.140625" style="61"/>
    <col min="4874" max="4874" width="13" style="61" customWidth="1"/>
    <col min="4875" max="4875" width="15.5703125" style="61" customWidth="1"/>
    <col min="4876" max="4876" width="13.140625" style="61" customWidth="1"/>
    <col min="4877" max="5124" width="9.140625" style="61"/>
    <col min="5125" max="5125" width="14.5703125" style="61" customWidth="1"/>
    <col min="5126" max="5126" width="26.42578125" style="61" customWidth="1"/>
    <col min="5127" max="5127" width="19" style="61" customWidth="1"/>
    <col min="5128" max="5129" width="9.140625" style="61"/>
    <col min="5130" max="5130" width="13" style="61" customWidth="1"/>
    <col min="5131" max="5131" width="15.5703125" style="61" customWidth="1"/>
    <col min="5132" max="5132" width="13.140625" style="61" customWidth="1"/>
    <col min="5133" max="5380" width="9.140625" style="61"/>
    <col min="5381" max="5381" width="14.5703125" style="61" customWidth="1"/>
    <col min="5382" max="5382" width="26.42578125" style="61" customWidth="1"/>
    <col min="5383" max="5383" width="19" style="61" customWidth="1"/>
    <col min="5384" max="5385" width="9.140625" style="61"/>
    <col min="5386" max="5386" width="13" style="61" customWidth="1"/>
    <col min="5387" max="5387" width="15.5703125" style="61" customWidth="1"/>
    <col min="5388" max="5388" width="13.140625" style="61" customWidth="1"/>
    <col min="5389" max="5636" width="9.140625" style="61"/>
    <col min="5637" max="5637" width="14.5703125" style="61" customWidth="1"/>
    <col min="5638" max="5638" width="26.42578125" style="61" customWidth="1"/>
    <col min="5639" max="5639" width="19" style="61" customWidth="1"/>
    <col min="5640" max="5641" width="9.140625" style="61"/>
    <col min="5642" max="5642" width="13" style="61" customWidth="1"/>
    <col min="5643" max="5643" width="15.5703125" style="61" customWidth="1"/>
    <col min="5644" max="5644" width="13.140625" style="61" customWidth="1"/>
    <col min="5645" max="5892" width="9.140625" style="61"/>
    <col min="5893" max="5893" width="14.5703125" style="61" customWidth="1"/>
    <col min="5894" max="5894" width="26.42578125" style="61" customWidth="1"/>
    <col min="5895" max="5895" width="19" style="61" customWidth="1"/>
    <col min="5896" max="5897" width="9.140625" style="61"/>
    <col min="5898" max="5898" width="13" style="61" customWidth="1"/>
    <col min="5899" max="5899" width="15.5703125" style="61" customWidth="1"/>
    <col min="5900" max="5900" width="13.140625" style="61" customWidth="1"/>
    <col min="5901" max="6148" width="9.140625" style="61"/>
    <col min="6149" max="6149" width="14.5703125" style="61" customWidth="1"/>
    <col min="6150" max="6150" width="26.42578125" style="61" customWidth="1"/>
    <col min="6151" max="6151" width="19" style="61" customWidth="1"/>
    <col min="6152" max="6153" width="9.140625" style="61"/>
    <col min="6154" max="6154" width="13" style="61" customWidth="1"/>
    <col min="6155" max="6155" width="15.5703125" style="61" customWidth="1"/>
    <col min="6156" max="6156" width="13.140625" style="61" customWidth="1"/>
    <col min="6157" max="6404" width="9.140625" style="61"/>
    <col min="6405" max="6405" width="14.5703125" style="61" customWidth="1"/>
    <col min="6406" max="6406" width="26.42578125" style="61" customWidth="1"/>
    <col min="6407" max="6407" width="19" style="61" customWidth="1"/>
    <col min="6408" max="6409" width="9.140625" style="61"/>
    <col min="6410" max="6410" width="13" style="61" customWidth="1"/>
    <col min="6411" max="6411" width="15.5703125" style="61" customWidth="1"/>
    <col min="6412" max="6412" width="13.140625" style="61" customWidth="1"/>
    <col min="6413" max="6660" width="9.140625" style="61"/>
    <col min="6661" max="6661" width="14.5703125" style="61" customWidth="1"/>
    <col min="6662" max="6662" width="26.42578125" style="61" customWidth="1"/>
    <col min="6663" max="6663" width="19" style="61" customWidth="1"/>
    <col min="6664" max="6665" width="9.140625" style="61"/>
    <col min="6666" max="6666" width="13" style="61" customWidth="1"/>
    <col min="6667" max="6667" width="15.5703125" style="61" customWidth="1"/>
    <col min="6668" max="6668" width="13.140625" style="61" customWidth="1"/>
    <col min="6669" max="6916" width="9.140625" style="61"/>
    <col min="6917" max="6917" width="14.5703125" style="61" customWidth="1"/>
    <col min="6918" max="6918" width="26.42578125" style="61" customWidth="1"/>
    <col min="6919" max="6919" width="19" style="61" customWidth="1"/>
    <col min="6920" max="6921" width="9.140625" style="61"/>
    <col min="6922" max="6922" width="13" style="61" customWidth="1"/>
    <col min="6923" max="6923" width="15.5703125" style="61" customWidth="1"/>
    <col min="6924" max="6924" width="13.140625" style="61" customWidth="1"/>
    <col min="6925" max="7172" width="9.140625" style="61"/>
    <col min="7173" max="7173" width="14.5703125" style="61" customWidth="1"/>
    <col min="7174" max="7174" width="26.42578125" style="61" customWidth="1"/>
    <col min="7175" max="7175" width="19" style="61" customWidth="1"/>
    <col min="7176" max="7177" width="9.140625" style="61"/>
    <col min="7178" max="7178" width="13" style="61" customWidth="1"/>
    <col min="7179" max="7179" width="15.5703125" style="61" customWidth="1"/>
    <col min="7180" max="7180" width="13.140625" style="61" customWidth="1"/>
    <col min="7181" max="7428" width="9.140625" style="61"/>
    <col min="7429" max="7429" width="14.5703125" style="61" customWidth="1"/>
    <col min="7430" max="7430" width="26.42578125" style="61" customWidth="1"/>
    <col min="7431" max="7431" width="19" style="61" customWidth="1"/>
    <col min="7432" max="7433" width="9.140625" style="61"/>
    <col min="7434" max="7434" width="13" style="61" customWidth="1"/>
    <col min="7435" max="7435" width="15.5703125" style="61" customWidth="1"/>
    <col min="7436" max="7436" width="13.140625" style="61" customWidth="1"/>
    <col min="7437" max="7684" width="9.140625" style="61"/>
    <col min="7685" max="7685" width="14.5703125" style="61" customWidth="1"/>
    <col min="7686" max="7686" width="26.42578125" style="61" customWidth="1"/>
    <col min="7687" max="7687" width="19" style="61" customWidth="1"/>
    <col min="7688" max="7689" width="9.140625" style="61"/>
    <col min="7690" max="7690" width="13" style="61" customWidth="1"/>
    <col min="7691" max="7691" width="15.5703125" style="61" customWidth="1"/>
    <col min="7692" max="7692" width="13.140625" style="61" customWidth="1"/>
    <col min="7693" max="7940" width="9.140625" style="61"/>
    <col min="7941" max="7941" width="14.5703125" style="61" customWidth="1"/>
    <col min="7942" max="7942" width="26.42578125" style="61" customWidth="1"/>
    <col min="7943" max="7943" width="19" style="61" customWidth="1"/>
    <col min="7944" max="7945" width="9.140625" style="61"/>
    <col min="7946" max="7946" width="13" style="61" customWidth="1"/>
    <col min="7947" max="7947" width="15.5703125" style="61" customWidth="1"/>
    <col min="7948" max="7948" width="13.140625" style="61" customWidth="1"/>
    <col min="7949" max="8196" width="9.140625" style="61"/>
    <col min="8197" max="8197" width="14.5703125" style="61" customWidth="1"/>
    <col min="8198" max="8198" width="26.42578125" style="61" customWidth="1"/>
    <col min="8199" max="8199" width="19" style="61" customWidth="1"/>
    <col min="8200" max="8201" width="9.140625" style="61"/>
    <col min="8202" max="8202" width="13" style="61" customWidth="1"/>
    <col min="8203" max="8203" width="15.5703125" style="61" customWidth="1"/>
    <col min="8204" max="8204" width="13.140625" style="61" customWidth="1"/>
    <col min="8205" max="8452" width="9.140625" style="61"/>
    <col min="8453" max="8453" width="14.5703125" style="61" customWidth="1"/>
    <col min="8454" max="8454" width="26.42578125" style="61" customWidth="1"/>
    <col min="8455" max="8455" width="19" style="61" customWidth="1"/>
    <col min="8456" max="8457" width="9.140625" style="61"/>
    <col min="8458" max="8458" width="13" style="61" customWidth="1"/>
    <col min="8459" max="8459" width="15.5703125" style="61" customWidth="1"/>
    <col min="8460" max="8460" width="13.140625" style="61" customWidth="1"/>
    <col min="8461" max="8708" width="9.140625" style="61"/>
    <col min="8709" max="8709" width="14.5703125" style="61" customWidth="1"/>
    <col min="8710" max="8710" width="26.42578125" style="61" customWidth="1"/>
    <col min="8711" max="8711" width="19" style="61" customWidth="1"/>
    <col min="8712" max="8713" width="9.140625" style="61"/>
    <col min="8714" max="8714" width="13" style="61" customWidth="1"/>
    <col min="8715" max="8715" width="15.5703125" style="61" customWidth="1"/>
    <col min="8716" max="8716" width="13.140625" style="61" customWidth="1"/>
    <col min="8717" max="8964" width="9.140625" style="61"/>
    <col min="8965" max="8965" width="14.5703125" style="61" customWidth="1"/>
    <col min="8966" max="8966" width="26.42578125" style="61" customWidth="1"/>
    <col min="8967" max="8967" width="19" style="61" customWidth="1"/>
    <col min="8968" max="8969" width="9.140625" style="61"/>
    <col min="8970" max="8970" width="13" style="61" customWidth="1"/>
    <col min="8971" max="8971" width="15.5703125" style="61" customWidth="1"/>
    <col min="8972" max="8972" width="13.140625" style="61" customWidth="1"/>
    <col min="8973" max="9220" width="9.140625" style="61"/>
    <col min="9221" max="9221" width="14.5703125" style="61" customWidth="1"/>
    <col min="9222" max="9222" width="26.42578125" style="61" customWidth="1"/>
    <col min="9223" max="9223" width="19" style="61" customWidth="1"/>
    <col min="9224" max="9225" width="9.140625" style="61"/>
    <col min="9226" max="9226" width="13" style="61" customWidth="1"/>
    <col min="9227" max="9227" width="15.5703125" style="61" customWidth="1"/>
    <col min="9228" max="9228" width="13.140625" style="61" customWidth="1"/>
    <col min="9229" max="9476" width="9.140625" style="61"/>
    <col min="9477" max="9477" width="14.5703125" style="61" customWidth="1"/>
    <col min="9478" max="9478" width="26.42578125" style="61" customWidth="1"/>
    <col min="9479" max="9479" width="19" style="61" customWidth="1"/>
    <col min="9480" max="9481" width="9.140625" style="61"/>
    <col min="9482" max="9482" width="13" style="61" customWidth="1"/>
    <col min="9483" max="9483" width="15.5703125" style="61" customWidth="1"/>
    <col min="9484" max="9484" width="13.140625" style="61" customWidth="1"/>
    <col min="9485" max="9732" width="9.140625" style="61"/>
    <col min="9733" max="9733" width="14.5703125" style="61" customWidth="1"/>
    <col min="9734" max="9734" width="26.42578125" style="61" customWidth="1"/>
    <col min="9735" max="9735" width="19" style="61" customWidth="1"/>
    <col min="9736" max="9737" width="9.140625" style="61"/>
    <col min="9738" max="9738" width="13" style="61" customWidth="1"/>
    <col min="9739" max="9739" width="15.5703125" style="61" customWidth="1"/>
    <col min="9740" max="9740" width="13.140625" style="61" customWidth="1"/>
    <col min="9741" max="9988" width="9.140625" style="61"/>
    <col min="9989" max="9989" width="14.5703125" style="61" customWidth="1"/>
    <col min="9990" max="9990" width="26.42578125" style="61" customWidth="1"/>
    <col min="9991" max="9991" width="19" style="61" customWidth="1"/>
    <col min="9992" max="9993" width="9.140625" style="61"/>
    <col min="9994" max="9994" width="13" style="61" customWidth="1"/>
    <col min="9995" max="9995" width="15.5703125" style="61" customWidth="1"/>
    <col min="9996" max="9996" width="13.140625" style="61" customWidth="1"/>
    <col min="9997" max="10244" width="9.140625" style="61"/>
    <col min="10245" max="10245" width="14.5703125" style="61" customWidth="1"/>
    <col min="10246" max="10246" width="26.42578125" style="61" customWidth="1"/>
    <col min="10247" max="10247" width="19" style="61" customWidth="1"/>
    <col min="10248" max="10249" width="9.140625" style="61"/>
    <col min="10250" max="10250" width="13" style="61" customWidth="1"/>
    <col min="10251" max="10251" width="15.5703125" style="61" customWidth="1"/>
    <col min="10252" max="10252" width="13.140625" style="61" customWidth="1"/>
    <col min="10253" max="10500" width="9.140625" style="61"/>
    <col min="10501" max="10501" width="14.5703125" style="61" customWidth="1"/>
    <col min="10502" max="10502" width="26.42578125" style="61" customWidth="1"/>
    <col min="10503" max="10503" width="19" style="61" customWidth="1"/>
    <col min="10504" max="10505" width="9.140625" style="61"/>
    <col min="10506" max="10506" width="13" style="61" customWidth="1"/>
    <col min="10507" max="10507" width="15.5703125" style="61" customWidth="1"/>
    <col min="10508" max="10508" width="13.140625" style="61" customWidth="1"/>
    <col min="10509" max="10756" width="9.140625" style="61"/>
    <col min="10757" max="10757" width="14.5703125" style="61" customWidth="1"/>
    <col min="10758" max="10758" width="26.42578125" style="61" customWidth="1"/>
    <col min="10759" max="10759" width="19" style="61" customWidth="1"/>
    <col min="10760" max="10761" width="9.140625" style="61"/>
    <col min="10762" max="10762" width="13" style="61" customWidth="1"/>
    <col min="10763" max="10763" width="15.5703125" style="61" customWidth="1"/>
    <col min="10764" max="10764" width="13.140625" style="61" customWidth="1"/>
    <col min="10765" max="11012" width="9.140625" style="61"/>
    <col min="11013" max="11013" width="14.5703125" style="61" customWidth="1"/>
    <col min="11014" max="11014" width="26.42578125" style="61" customWidth="1"/>
    <col min="11015" max="11015" width="19" style="61" customWidth="1"/>
    <col min="11016" max="11017" width="9.140625" style="61"/>
    <col min="11018" max="11018" width="13" style="61" customWidth="1"/>
    <col min="11019" max="11019" width="15.5703125" style="61" customWidth="1"/>
    <col min="11020" max="11020" width="13.140625" style="61" customWidth="1"/>
    <col min="11021" max="11268" width="9.140625" style="61"/>
    <col min="11269" max="11269" width="14.5703125" style="61" customWidth="1"/>
    <col min="11270" max="11270" width="26.42578125" style="61" customWidth="1"/>
    <col min="11271" max="11271" width="19" style="61" customWidth="1"/>
    <col min="11272" max="11273" width="9.140625" style="61"/>
    <col min="11274" max="11274" width="13" style="61" customWidth="1"/>
    <col min="11275" max="11275" width="15.5703125" style="61" customWidth="1"/>
    <col min="11276" max="11276" width="13.140625" style="61" customWidth="1"/>
    <col min="11277" max="11524" width="9.140625" style="61"/>
    <col min="11525" max="11525" width="14.5703125" style="61" customWidth="1"/>
    <col min="11526" max="11526" width="26.42578125" style="61" customWidth="1"/>
    <col min="11527" max="11527" width="19" style="61" customWidth="1"/>
    <col min="11528" max="11529" width="9.140625" style="61"/>
    <col min="11530" max="11530" width="13" style="61" customWidth="1"/>
    <col min="11531" max="11531" width="15.5703125" style="61" customWidth="1"/>
    <col min="11532" max="11532" width="13.140625" style="61" customWidth="1"/>
    <col min="11533" max="11780" width="9.140625" style="61"/>
    <col min="11781" max="11781" width="14.5703125" style="61" customWidth="1"/>
    <col min="11782" max="11782" width="26.42578125" style="61" customWidth="1"/>
    <col min="11783" max="11783" width="19" style="61" customWidth="1"/>
    <col min="11784" max="11785" width="9.140625" style="61"/>
    <col min="11786" max="11786" width="13" style="61" customWidth="1"/>
    <col min="11787" max="11787" width="15.5703125" style="61" customWidth="1"/>
    <col min="11788" max="11788" width="13.140625" style="61" customWidth="1"/>
    <col min="11789" max="12036" width="9.140625" style="61"/>
    <col min="12037" max="12037" width="14.5703125" style="61" customWidth="1"/>
    <col min="12038" max="12038" width="26.42578125" style="61" customWidth="1"/>
    <col min="12039" max="12039" width="19" style="61" customWidth="1"/>
    <col min="12040" max="12041" width="9.140625" style="61"/>
    <col min="12042" max="12042" width="13" style="61" customWidth="1"/>
    <col min="12043" max="12043" width="15.5703125" style="61" customWidth="1"/>
    <col min="12044" max="12044" width="13.140625" style="61" customWidth="1"/>
    <col min="12045" max="12292" width="9.140625" style="61"/>
    <col min="12293" max="12293" width="14.5703125" style="61" customWidth="1"/>
    <col min="12294" max="12294" width="26.42578125" style="61" customWidth="1"/>
    <col min="12295" max="12295" width="19" style="61" customWidth="1"/>
    <col min="12296" max="12297" width="9.140625" style="61"/>
    <col min="12298" max="12298" width="13" style="61" customWidth="1"/>
    <col min="12299" max="12299" width="15.5703125" style="61" customWidth="1"/>
    <col min="12300" max="12300" width="13.140625" style="61" customWidth="1"/>
    <col min="12301" max="12548" width="9.140625" style="61"/>
    <col min="12549" max="12549" width="14.5703125" style="61" customWidth="1"/>
    <col min="12550" max="12550" width="26.42578125" style="61" customWidth="1"/>
    <col min="12551" max="12551" width="19" style="61" customWidth="1"/>
    <col min="12552" max="12553" width="9.140625" style="61"/>
    <col min="12554" max="12554" width="13" style="61" customWidth="1"/>
    <col min="12555" max="12555" width="15.5703125" style="61" customWidth="1"/>
    <col min="12556" max="12556" width="13.140625" style="61" customWidth="1"/>
    <col min="12557" max="12804" width="9.140625" style="61"/>
    <col min="12805" max="12805" width="14.5703125" style="61" customWidth="1"/>
    <col min="12806" max="12806" width="26.42578125" style="61" customWidth="1"/>
    <col min="12807" max="12807" width="19" style="61" customWidth="1"/>
    <col min="12808" max="12809" width="9.140625" style="61"/>
    <col min="12810" max="12810" width="13" style="61" customWidth="1"/>
    <col min="12811" max="12811" width="15.5703125" style="61" customWidth="1"/>
    <col min="12812" max="12812" width="13.140625" style="61" customWidth="1"/>
    <col min="12813" max="13060" width="9.140625" style="61"/>
    <col min="13061" max="13061" width="14.5703125" style="61" customWidth="1"/>
    <col min="13062" max="13062" width="26.42578125" style="61" customWidth="1"/>
    <col min="13063" max="13063" width="19" style="61" customWidth="1"/>
    <col min="13064" max="13065" width="9.140625" style="61"/>
    <col min="13066" max="13066" width="13" style="61" customWidth="1"/>
    <col min="13067" max="13067" width="15.5703125" style="61" customWidth="1"/>
    <col min="13068" max="13068" width="13.140625" style="61" customWidth="1"/>
    <col min="13069" max="13316" width="9.140625" style="61"/>
    <col min="13317" max="13317" width="14.5703125" style="61" customWidth="1"/>
    <col min="13318" max="13318" width="26.42578125" style="61" customWidth="1"/>
    <col min="13319" max="13319" width="19" style="61" customWidth="1"/>
    <col min="13320" max="13321" width="9.140625" style="61"/>
    <col min="13322" max="13322" width="13" style="61" customWidth="1"/>
    <col min="13323" max="13323" width="15.5703125" style="61" customWidth="1"/>
    <col min="13324" max="13324" width="13.140625" style="61" customWidth="1"/>
    <col min="13325" max="13572" width="9.140625" style="61"/>
    <col min="13573" max="13573" width="14.5703125" style="61" customWidth="1"/>
    <col min="13574" max="13574" width="26.42578125" style="61" customWidth="1"/>
    <col min="13575" max="13575" width="19" style="61" customWidth="1"/>
    <col min="13576" max="13577" width="9.140625" style="61"/>
    <col min="13578" max="13578" width="13" style="61" customWidth="1"/>
    <col min="13579" max="13579" width="15.5703125" style="61" customWidth="1"/>
    <col min="13580" max="13580" width="13.140625" style="61" customWidth="1"/>
    <col min="13581" max="13828" width="9.140625" style="61"/>
    <col min="13829" max="13829" width="14.5703125" style="61" customWidth="1"/>
    <col min="13830" max="13830" width="26.42578125" style="61" customWidth="1"/>
    <col min="13831" max="13831" width="19" style="61" customWidth="1"/>
    <col min="13832" max="13833" width="9.140625" style="61"/>
    <col min="13834" max="13834" width="13" style="61" customWidth="1"/>
    <col min="13835" max="13835" width="15.5703125" style="61" customWidth="1"/>
    <col min="13836" max="13836" width="13.140625" style="61" customWidth="1"/>
    <col min="13837" max="14084" width="9.140625" style="61"/>
    <col min="14085" max="14085" width="14.5703125" style="61" customWidth="1"/>
    <col min="14086" max="14086" width="26.42578125" style="61" customWidth="1"/>
    <col min="14087" max="14087" width="19" style="61" customWidth="1"/>
    <col min="14088" max="14089" width="9.140625" style="61"/>
    <col min="14090" max="14090" width="13" style="61" customWidth="1"/>
    <col min="14091" max="14091" width="15.5703125" style="61" customWidth="1"/>
    <col min="14092" max="14092" width="13.140625" style="61" customWidth="1"/>
    <col min="14093" max="14340" width="9.140625" style="61"/>
    <col min="14341" max="14341" width="14.5703125" style="61" customWidth="1"/>
    <col min="14342" max="14342" width="26.42578125" style="61" customWidth="1"/>
    <col min="14343" max="14343" width="19" style="61" customWidth="1"/>
    <col min="14344" max="14345" width="9.140625" style="61"/>
    <col min="14346" max="14346" width="13" style="61" customWidth="1"/>
    <col min="14347" max="14347" width="15.5703125" style="61" customWidth="1"/>
    <col min="14348" max="14348" width="13.140625" style="61" customWidth="1"/>
    <col min="14349" max="14596" width="9.140625" style="61"/>
    <col min="14597" max="14597" width="14.5703125" style="61" customWidth="1"/>
    <col min="14598" max="14598" width="26.42578125" style="61" customWidth="1"/>
    <col min="14599" max="14599" width="19" style="61" customWidth="1"/>
    <col min="14600" max="14601" width="9.140625" style="61"/>
    <col min="14602" max="14602" width="13" style="61" customWidth="1"/>
    <col min="14603" max="14603" width="15.5703125" style="61" customWidth="1"/>
    <col min="14604" max="14604" width="13.140625" style="61" customWidth="1"/>
    <col min="14605" max="14852" width="9.140625" style="61"/>
    <col min="14853" max="14853" width="14.5703125" style="61" customWidth="1"/>
    <col min="14854" max="14854" width="26.42578125" style="61" customWidth="1"/>
    <col min="14855" max="14855" width="19" style="61" customWidth="1"/>
    <col min="14856" max="14857" width="9.140625" style="61"/>
    <col min="14858" max="14858" width="13" style="61" customWidth="1"/>
    <col min="14859" max="14859" width="15.5703125" style="61" customWidth="1"/>
    <col min="14860" max="14860" width="13.140625" style="61" customWidth="1"/>
    <col min="14861" max="15108" width="9.140625" style="61"/>
    <col min="15109" max="15109" width="14.5703125" style="61" customWidth="1"/>
    <col min="15110" max="15110" width="26.42578125" style="61" customWidth="1"/>
    <col min="15111" max="15111" width="19" style="61" customWidth="1"/>
    <col min="15112" max="15113" width="9.140625" style="61"/>
    <col min="15114" max="15114" width="13" style="61" customWidth="1"/>
    <col min="15115" max="15115" width="15.5703125" style="61" customWidth="1"/>
    <col min="15116" max="15116" width="13.140625" style="61" customWidth="1"/>
    <col min="15117" max="15364" width="9.140625" style="61"/>
    <col min="15365" max="15365" width="14.5703125" style="61" customWidth="1"/>
    <col min="15366" max="15366" width="26.42578125" style="61" customWidth="1"/>
    <col min="15367" max="15367" width="19" style="61" customWidth="1"/>
    <col min="15368" max="15369" width="9.140625" style="61"/>
    <col min="15370" max="15370" width="13" style="61" customWidth="1"/>
    <col min="15371" max="15371" width="15.5703125" style="61" customWidth="1"/>
    <col min="15372" max="15372" width="13.140625" style="61" customWidth="1"/>
    <col min="15373" max="15620" width="9.140625" style="61"/>
    <col min="15621" max="15621" width="14.5703125" style="61" customWidth="1"/>
    <col min="15622" max="15622" width="26.42578125" style="61" customWidth="1"/>
    <col min="15623" max="15623" width="19" style="61" customWidth="1"/>
    <col min="15624" max="15625" width="9.140625" style="61"/>
    <col min="15626" max="15626" width="13" style="61" customWidth="1"/>
    <col min="15627" max="15627" width="15.5703125" style="61" customWidth="1"/>
    <col min="15628" max="15628" width="13.140625" style="61" customWidth="1"/>
    <col min="15629" max="15876" width="9.140625" style="61"/>
    <col min="15877" max="15877" width="14.5703125" style="61" customWidth="1"/>
    <col min="15878" max="15878" width="26.42578125" style="61" customWidth="1"/>
    <col min="15879" max="15879" width="19" style="61" customWidth="1"/>
    <col min="15880" max="15881" width="9.140625" style="61"/>
    <col min="15882" max="15882" width="13" style="61" customWidth="1"/>
    <col min="15883" max="15883" width="15.5703125" style="61" customWidth="1"/>
    <col min="15884" max="15884" width="13.140625" style="61" customWidth="1"/>
    <col min="15885" max="16132" width="9.140625" style="61"/>
    <col min="16133" max="16133" width="14.5703125" style="61" customWidth="1"/>
    <col min="16134" max="16134" width="26.42578125" style="61" customWidth="1"/>
    <col min="16135" max="16135" width="19" style="61" customWidth="1"/>
    <col min="16136" max="16137" width="9.140625" style="61"/>
    <col min="16138" max="16138" width="13" style="61" customWidth="1"/>
    <col min="16139" max="16139" width="15.5703125" style="61" customWidth="1"/>
    <col min="16140" max="16140" width="13.140625" style="61" customWidth="1"/>
    <col min="16141" max="16384" width="9.140625" style="61"/>
  </cols>
  <sheetData>
    <row r="1" spans="1:23" s="57" customFormat="1" ht="20.45" customHeight="1">
      <c r="A1" s="1057"/>
      <c r="B1" s="1057"/>
      <c r="C1" s="1058" t="s">
        <v>1012</v>
      </c>
      <c r="D1" s="1059"/>
      <c r="E1" s="1059"/>
      <c r="F1" s="1059"/>
      <c r="G1" s="1059"/>
      <c r="H1" s="1059"/>
      <c r="I1" s="1059"/>
      <c r="J1" s="1059"/>
      <c r="K1" s="1059"/>
      <c r="L1" s="1059"/>
      <c r="M1" s="1059"/>
      <c r="N1" s="1059"/>
      <c r="O1" s="1060"/>
      <c r="P1" s="1067" t="s">
        <v>1125</v>
      </c>
      <c r="Q1" s="1067"/>
    </row>
    <row r="2" spans="1:23" s="57" customFormat="1" ht="27.6" customHeight="1">
      <c r="A2" s="1057"/>
      <c r="B2" s="1057"/>
      <c r="C2" s="1061"/>
      <c r="D2" s="1062"/>
      <c r="E2" s="1062"/>
      <c r="F2" s="1062"/>
      <c r="G2" s="1062"/>
      <c r="H2" s="1062"/>
      <c r="I2" s="1062"/>
      <c r="J2" s="1062"/>
      <c r="K2" s="1062"/>
      <c r="L2" s="1062"/>
      <c r="M2" s="1062"/>
      <c r="N2" s="1062"/>
      <c r="O2" s="1063"/>
      <c r="P2" s="1067"/>
      <c r="Q2" s="1067"/>
    </row>
    <row r="3" spans="1:23" s="57" customFormat="1" ht="37.9" customHeight="1">
      <c r="A3" s="1057"/>
      <c r="B3" s="1057"/>
      <c r="C3" s="1064"/>
      <c r="D3" s="1065"/>
      <c r="E3" s="1065"/>
      <c r="F3" s="1065"/>
      <c r="G3" s="1065"/>
      <c r="H3" s="1065"/>
      <c r="I3" s="1065"/>
      <c r="J3" s="1065"/>
      <c r="K3" s="1065"/>
      <c r="L3" s="1065"/>
      <c r="M3" s="1065"/>
      <c r="N3" s="1065"/>
      <c r="O3" s="1066"/>
      <c r="P3" s="1067"/>
      <c r="Q3" s="1067"/>
    </row>
    <row r="4" spans="1:23" s="58" customFormat="1" ht="19.899999999999999" customHeight="1">
      <c r="A4" s="1073" t="s">
        <v>1013</v>
      </c>
      <c r="B4" s="1073"/>
      <c r="C4" s="1073"/>
      <c r="D4" s="1073"/>
      <c r="E4" s="1073"/>
      <c r="F4" s="1073"/>
      <c r="G4" s="1073"/>
      <c r="H4" s="1073"/>
      <c r="I4" s="1073"/>
      <c r="J4" s="1073"/>
      <c r="K4" s="1073"/>
      <c r="L4" s="1073"/>
      <c r="M4" s="1073"/>
      <c r="N4" s="1073"/>
      <c r="O4" s="1073"/>
      <c r="P4" s="1073"/>
      <c r="Q4" s="81"/>
      <c r="R4" s="82"/>
    </row>
    <row r="5" spans="1:23" s="58" customFormat="1" ht="19.899999999999999" customHeight="1">
      <c r="A5" s="1073" t="s">
        <v>1014</v>
      </c>
      <c r="B5" s="1073"/>
      <c r="C5" s="1073"/>
      <c r="D5" s="1073"/>
      <c r="E5" s="1073"/>
      <c r="F5" s="1073"/>
      <c r="G5" s="1073"/>
      <c r="H5" s="1073"/>
      <c r="I5" s="1073"/>
      <c r="J5" s="1073"/>
      <c r="K5" s="1073"/>
      <c r="L5" s="1073"/>
      <c r="M5" s="1073"/>
      <c r="N5" s="1073"/>
      <c r="O5" s="1073"/>
      <c r="P5" s="1073"/>
      <c r="Q5" s="81"/>
      <c r="R5" s="82"/>
    </row>
    <row r="6" spans="1:23" s="58" customFormat="1" ht="19.899999999999999" customHeight="1">
      <c r="A6" s="1073" t="s">
        <v>1015</v>
      </c>
      <c r="B6" s="1073"/>
      <c r="C6" s="1073"/>
      <c r="D6" s="1073"/>
      <c r="E6" s="1073"/>
      <c r="F6" s="1073"/>
      <c r="G6" s="1073"/>
      <c r="H6" s="1073"/>
      <c r="I6" s="1073"/>
      <c r="J6" s="1073"/>
      <c r="K6" s="1073"/>
      <c r="L6" s="1073"/>
      <c r="M6" s="1073"/>
      <c r="N6" s="1073"/>
      <c r="O6" s="1073"/>
      <c r="P6" s="1073"/>
      <c r="Q6" s="62"/>
      <c r="R6" s="83"/>
    </row>
    <row r="7" spans="1:23" s="58" customFormat="1" ht="19.899999999999999" customHeight="1">
      <c r="A7" s="63" t="s">
        <v>1016</v>
      </c>
      <c r="B7" s="64"/>
      <c r="C7" s="65"/>
      <c r="D7" s="65"/>
      <c r="E7" s="66"/>
      <c r="F7" s="66"/>
      <c r="G7" s="66"/>
      <c r="H7" s="66"/>
      <c r="I7" s="66"/>
      <c r="J7" s="66"/>
      <c r="K7" s="66"/>
      <c r="L7" s="66"/>
      <c r="M7" s="66"/>
      <c r="N7" s="65"/>
      <c r="O7" s="65"/>
      <c r="P7" s="65"/>
      <c r="Q7" s="84"/>
      <c r="R7" s="85"/>
      <c r="V7" s="1074" t="s">
        <v>1017</v>
      </c>
      <c r="W7" s="1074"/>
    </row>
    <row r="8" spans="1:23" s="59" customFormat="1" ht="67.900000000000006" customHeight="1">
      <c r="A8" s="1079" t="s">
        <v>1018</v>
      </c>
      <c r="B8" s="1079" t="s">
        <v>1019</v>
      </c>
      <c r="C8" s="1079" t="s">
        <v>1020</v>
      </c>
      <c r="D8" s="1079" t="s">
        <v>1021</v>
      </c>
      <c r="E8" s="1075" t="s">
        <v>1022</v>
      </c>
      <c r="F8" s="1075"/>
      <c r="G8" s="1075"/>
      <c r="H8" s="1075"/>
      <c r="I8" s="1075"/>
      <c r="J8" s="1076" t="s">
        <v>1023</v>
      </c>
      <c r="K8" s="1077"/>
      <c r="L8" s="1077"/>
      <c r="M8" s="1077"/>
      <c r="N8" s="1078"/>
      <c r="O8" s="1081" t="s">
        <v>1024</v>
      </c>
      <c r="P8" s="1079" t="s">
        <v>1025</v>
      </c>
      <c r="Q8" s="1083" t="s">
        <v>1026</v>
      </c>
    </row>
    <row r="9" spans="1:23" s="59" customFormat="1" ht="27" customHeight="1">
      <c r="A9" s="1080"/>
      <c r="B9" s="1080"/>
      <c r="C9" s="1080"/>
      <c r="D9" s="1080"/>
      <c r="E9" s="67" t="s">
        <v>1027</v>
      </c>
      <c r="F9" s="67" t="s">
        <v>1028</v>
      </c>
      <c r="G9" s="67" t="s">
        <v>1029</v>
      </c>
      <c r="H9" s="67" t="s">
        <v>1030</v>
      </c>
      <c r="I9" s="67" t="s">
        <v>1031</v>
      </c>
      <c r="J9" s="67" t="s">
        <v>1027</v>
      </c>
      <c r="K9" s="67" t="s">
        <v>1028</v>
      </c>
      <c r="L9" s="67" t="s">
        <v>1029</v>
      </c>
      <c r="M9" s="67" t="s">
        <v>1030</v>
      </c>
      <c r="N9" s="67" t="s">
        <v>1031</v>
      </c>
      <c r="O9" s="1082"/>
      <c r="P9" s="1080"/>
      <c r="Q9" s="1084"/>
    </row>
    <row r="10" spans="1:23" s="59" customFormat="1" ht="16.899999999999999" customHeight="1">
      <c r="A10" s="591" t="s">
        <v>510</v>
      </c>
      <c r="B10" s="591" t="s">
        <v>511</v>
      </c>
      <c r="C10" s="591" t="s">
        <v>575</v>
      </c>
      <c r="D10" s="591" t="s">
        <v>513</v>
      </c>
      <c r="E10" s="591" t="s">
        <v>577</v>
      </c>
      <c r="F10" s="591" t="s">
        <v>515</v>
      </c>
      <c r="G10" s="591" t="s">
        <v>516</v>
      </c>
      <c r="H10" s="591" t="s">
        <v>517</v>
      </c>
      <c r="I10" s="591" t="s">
        <v>640</v>
      </c>
      <c r="J10" s="591" t="s">
        <v>641</v>
      </c>
      <c r="K10" s="591" t="s">
        <v>642</v>
      </c>
      <c r="L10" s="591" t="s">
        <v>521</v>
      </c>
      <c r="M10" s="591" t="s">
        <v>522</v>
      </c>
      <c r="N10" s="591" t="s">
        <v>643</v>
      </c>
      <c r="O10" s="591" t="s">
        <v>644</v>
      </c>
      <c r="P10" s="591" t="s">
        <v>645</v>
      </c>
      <c r="Q10" s="591" t="s">
        <v>646</v>
      </c>
    </row>
    <row r="11" spans="1:23" ht="16.899999999999999" customHeight="1">
      <c r="A11" s="68">
        <v>1</v>
      </c>
      <c r="B11" s="69" t="s">
        <v>1032</v>
      </c>
      <c r="C11" s="70" t="s">
        <v>1033</v>
      </c>
      <c r="D11" s="71" t="s">
        <v>1034</v>
      </c>
      <c r="E11" s="71"/>
      <c r="F11" s="71">
        <v>12</v>
      </c>
      <c r="G11" s="71">
        <v>14</v>
      </c>
      <c r="H11" s="70"/>
      <c r="I11" s="70">
        <v>126</v>
      </c>
      <c r="J11" s="70"/>
      <c r="K11" s="70">
        <v>11.8</v>
      </c>
      <c r="L11" s="70">
        <v>21.3</v>
      </c>
      <c r="M11" s="70"/>
      <c r="N11" s="77">
        <v>43.3</v>
      </c>
      <c r="O11" s="77">
        <v>0.4536</v>
      </c>
      <c r="P11" s="78">
        <f>+(E11*J11+F11*K11+G11*L11+H11*M11+I11*N11)*O11</f>
        <v>2674.2441599999997</v>
      </c>
      <c r="Q11" s="86">
        <f>+P11/1000</f>
        <v>2.6742441599999998</v>
      </c>
    </row>
    <row r="12" spans="1:23" ht="16.899999999999999" customHeight="1">
      <c r="A12" s="68">
        <v>2</v>
      </c>
      <c r="B12" s="69" t="s">
        <v>1035</v>
      </c>
      <c r="C12" s="70" t="s">
        <v>1033</v>
      </c>
      <c r="D12" s="71" t="s">
        <v>1034</v>
      </c>
      <c r="E12" s="71">
        <v>55</v>
      </c>
      <c r="F12" s="71">
        <v>272</v>
      </c>
      <c r="G12" s="71">
        <v>39</v>
      </c>
      <c r="H12" s="70"/>
      <c r="I12" s="70"/>
      <c r="J12" s="70">
        <v>2.7</v>
      </c>
      <c r="K12" s="70">
        <v>11.8</v>
      </c>
      <c r="L12" s="70">
        <v>21.3</v>
      </c>
      <c r="M12" s="70"/>
      <c r="N12" s="77"/>
      <c r="O12" s="77">
        <v>0.4536</v>
      </c>
      <c r="P12" s="78">
        <f t="shared" ref="P12:P28" si="0">+(E12*J12+F12*K12+G12*L12+H12*M12+I12*N12)*O12</f>
        <v>1900.0396800000001</v>
      </c>
      <c r="Q12" s="86">
        <f t="shared" ref="Q12:Q28" si="1">+P12/1000</f>
        <v>1.9000396800000001</v>
      </c>
    </row>
    <row r="13" spans="1:23" ht="16.899999999999999" customHeight="1">
      <c r="A13" s="68">
        <v>3</v>
      </c>
      <c r="B13" s="69" t="s">
        <v>1036</v>
      </c>
      <c r="C13" s="70" t="s">
        <v>1033</v>
      </c>
      <c r="D13" s="71" t="s">
        <v>1037</v>
      </c>
      <c r="E13" s="71"/>
      <c r="F13" s="71">
        <v>16</v>
      </c>
      <c r="G13" s="71">
        <v>7</v>
      </c>
      <c r="H13" s="70"/>
      <c r="I13" s="70"/>
      <c r="J13" s="70"/>
      <c r="K13" s="70">
        <v>7.1</v>
      </c>
      <c r="L13" s="70">
        <v>12.3</v>
      </c>
      <c r="M13" s="70"/>
      <c r="N13" s="77"/>
      <c r="O13" s="77">
        <v>0.4536</v>
      </c>
      <c r="P13" s="78">
        <f t="shared" si="0"/>
        <v>90.583919999999992</v>
      </c>
      <c r="Q13" s="86">
        <f t="shared" si="1"/>
        <v>9.0583919999999998E-2</v>
      </c>
    </row>
    <row r="14" spans="1:23" ht="16.899999999999999" customHeight="1">
      <c r="A14" s="68">
        <v>4</v>
      </c>
      <c r="B14" s="69" t="s">
        <v>1038</v>
      </c>
      <c r="C14" s="72" t="s">
        <v>1033</v>
      </c>
      <c r="D14" s="71" t="s">
        <v>1034</v>
      </c>
      <c r="E14" s="71"/>
      <c r="F14" s="71"/>
      <c r="G14" s="71"/>
      <c r="H14" s="70">
        <v>9</v>
      </c>
      <c r="I14" s="70"/>
      <c r="J14" s="70"/>
      <c r="K14" s="70"/>
      <c r="L14" s="70"/>
      <c r="M14" s="70">
        <v>31.9</v>
      </c>
      <c r="N14" s="77"/>
      <c r="O14" s="77">
        <v>0.4536</v>
      </c>
      <c r="P14" s="78">
        <f t="shared" si="0"/>
        <v>130.22855999999999</v>
      </c>
      <c r="Q14" s="86">
        <f t="shared" si="1"/>
        <v>0.13022855999999999</v>
      </c>
    </row>
    <row r="15" spans="1:23" ht="16.899999999999999" customHeight="1">
      <c r="A15" s="68">
        <v>5</v>
      </c>
      <c r="B15" s="69" t="s">
        <v>1039</v>
      </c>
      <c r="C15" s="70" t="s">
        <v>1033</v>
      </c>
      <c r="D15" s="71" t="s">
        <v>1037</v>
      </c>
      <c r="E15" s="71">
        <v>10</v>
      </c>
      <c r="F15" s="71">
        <v>9</v>
      </c>
      <c r="G15" s="71">
        <v>32</v>
      </c>
      <c r="H15" s="70"/>
      <c r="I15" s="70"/>
      <c r="J15" s="70">
        <v>2.7</v>
      </c>
      <c r="K15" s="70">
        <v>7.1</v>
      </c>
      <c r="L15" s="70">
        <v>12.3</v>
      </c>
      <c r="M15" s="70"/>
      <c r="N15" s="77"/>
      <c r="O15" s="77">
        <v>0.4536</v>
      </c>
      <c r="P15" s="78">
        <f t="shared" si="0"/>
        <v>219.76920000000001</v>
      </c>
      <c r="Q15" s="86">
        <f t="shared" si="1"/>
        <v>0.21976920000000003</v>
      </c>
    </row>
    <row r="16" spans="1:23" ht="16.899999999999999" customHeight="1">
      <c r="A16" s="68">
        <v>6</v>
      </c>
      <c r="B16" s="69" t="s">
        <v>1040</v>
      </c>
      <c r="C16" s="70" t="s">
        <v>1033</v>
      </c>
      <c r="D16" s="71" t="s">
        <v>1037</v>
      </c>
      <c r="E16" s="71"/>
      <c r="F16" s="71">
        <v>27</v>
      </c>
      <c r="G16" s="71"/>
      <c r="H16" s="70"/>
      <c r="I16" s="70"/>
      <c r="J16" s="70"/>
      <c r="K16" s="70">
        <v>7.1</v>
      </c>
      <c r="L16" s="70"/>
      <c r="M16" s="70"/>
      <c r="N16" s="77"/>
      <c r="O16" s="77">
        <v>0.4536</v>
      </c>
      <c r="P16" s="78">
        <f t="shared" si="0"/>
        <v>86.955119999999994</v>
      </c>
      <c r="Q16" s="86">
        <f t="shared" si="1"/>
        <v>8.6955119999999997E-2</v>
      </c>
    </row>
    <row r="17" spans="1:17" ht="16.899999999999999" customHeight="1">
      <c r="A17" s="68">
        <v>7</v>
      </c>
      <c r="B17" s="69" t="s">
        <v>1041</v>
      </c>
      <c r="C17" s="70" t="s">
        <v>1033</v>
      </c>
      <c r="D17" s="71" t="s">
        <v>1042</v>
      </c>
      <c r="E17" s="71"/>
      <c r="F17" s="71"/>
      <c r="G17" s="71">
        <v>3</v>
      </c>
      <c r="H17" s="70"/>
      <c r="I17" s="70"/>
      <c r="J17" s="70"/>
      <c r="K17" s="70"/>
      <c r="L17" s="70">
        <v>6</v>
      </c>
      <c r="M17" s="70"/>
      <c r="N17" s="77"/>
      <c r="O17" s="77">
        <v>0.4536</v>
      </c>
      <c r="P17" s="78">
        <f t="shared" si="0"/>
        <v>8.1647999999999996</v>
      </c>
      <c r="Q17" s="86">
        <f t="shared" si="1"/>
        <v>8.1647999999999998E-3</v>
      </c>
    </row>
    <row r="18" spans="1:17" ht="16.899999999999999" customHeight="1">
      <c r="A18" s="68">
        <v>8</v>
      </c>
      <c r="B18" s="69" t="s">
        <v>1043</v>
      </c>
      <c r="C18" s="70" t="s">
        <v>1033</v>
      </c>
      <c r="D18" s="71" t="s">
        <v>1037</v>
      </c>
      <c r="E18" s="71"/>
      <c r="F18" s="71"/>
      <c r="G18" s="71">
        <v>5</v>
      </c>
      <c r="H18" s="70"/>
      <c r="I18" s="70"/>
      <c r="J18" s="70"/>
      <c r="K18" s="70"/>
      <c r="L18" s="70">
        <v>12.3</v>
      </c>
      <c r="M18" s="70"/>
      <c r="N18" s="77"/>
      <c r="O18" s="77">
        <v>0.4536</v>
      </c>
      <c r="P18" s="78">
        <f t="shared" si="0"/>
        <v>27.8964</v>
      </c>
      <c r="Q18" s="86">
        <f t="shared" si="1"/>
        <v>2.7896399999999998E-2</v>
      </c>
    </row>
    <row r="19" spans="1:17" ht="16.899999999999999" customHeight="1">
      <c r="A19" s="68">
        <v>9</v>
      </c>
      <c r="B19" s="69" t="s">
        <v>1044</v>
      </c>
      <c r="C19" s="70" t="s">
        <v>1033</v>
      </c>
      <c r="D19" s="71" t="s">
        <v>1042</v>
      </c>
      <c r="E19" s="71"/>
      <c r="F19" s="71">
        <v>12</v>
      </c>
      <c r="G19" s="71"/>
      <c r="H19" s="70"/>
      <c r="I19" s="70"/>
      <c r="J19" s="70"/>
      <c r="K19" s="70">
        <v>3.7</v>
      </c>
      <c r="L19" s="70"/>
      <c r="M19" s="70"/>
      <c r="N19" s="77"/>
      <c r="O19" s="77">
        <v>0.4536</v>
      </c>
      <c r="P19" s="78">
        <f t="shared" si="0"/>
        <v>20.139840000000003</v>
      </c>
      <c r="Q19" s="86">
        <f t="shared" si="1"/>
        <v>2.0139840000000003E-2</v>
      </c>
    </row>
    <row r="20" spans="1:17" ht="16.899999999999999" customHeight="1">
      <c r="A20" s="68">
        <v>10</v>
      </c>
      <c r="B20" s="69" t="s">
        <v>1045</v>
      </c>
      <c r="C20" s="70" t="s">
        <v>1033</v>
      </c>
      <c r="D20" s="71" t="s">
        <v>1034</v>
      </c>
      <c r="E20" s="71"/>
      <c r="F20" s="71">
        <v>2</v>
      </c>
      <c r="G20" s="71">
        <v>3</v>
      </c>
      <c r="H20" s="70"/>
      <c r="I20" s="70"/>
      <c r="J20" s="70"/>
      <c r="K20" s="70">
        <v>11.8</v>
      </c>
      <c r="L20" s="70">
        <v>21.3</v>
      </c>
      <c r="M20" s="70"/>
      <c r="N20" s="77"/>
      <c r="O20" s="77">
        <v>0.4536</v>
      </c>
      <c r="P20" s="78">
        <f t="shared" si="0"/>
        <v>39.69</v>
      </c>
      <c r="Q20" s="86">
        <f t="shared" si="1"/>
        <v>3.9689999999999996E-2</v>
      </c>
    </row>
    <row r="21" spans="1:17" ht="16.899999999999999" customHeight="1">
      <c r="A21" s="68">
        <v>11</v>
      </c>
      <c r="B21" s="69" t="s">
        <v>1046</v>
      </c>
      <c r="C21" s="70" t="s">
        <v>1033</v>
      </c>
      <c r="D21" s="71" t="s">
        <v>1037</v>
      </c>
      <c r="E21" s="71"/>
      <c r="F21" s="71">
        <v>14</v>
      </c>
      <c r="G21" s="71"/>
      <c r="H21" s="70"/>
      <c r="I21" s="70"/>
      <c r="J21" s="70"/>
      <c r="K21" s="70">
        <v>7.1</v>
      </c>
      <c r="L21" s="70"/>
      <c r="M21" s="70"/>
      <c r="N21" s="77"/>
      <c r="O21" s="77">
        <v>0.4536</v>
      </c>
      <c r="P21" s="78">
        <f t="shared" si="0"/>
        <v>45.08784</v>
      </c>
      <c r="Q21" s="86">
        <f t="shared" si="1"/>
        <v>4.5087839999999997E-2</v>
      </c>
    </row>
    <row r="22" spans="1:17" ht="16.899999999999999" customHeight="1">
      <c r="A22" s="68">
        <v>12</v>
      </c>
      <c r="B22" s="69" t="s">
        <v>1047</v>
      </c>
      <c r="C22" s="70" t="s">
        <v>1033</v>
      </c>
      <c r="D22" s="71" t="s">
        <v>1042</v>
      </c>
      <c r="E22" s="71"/>
      <c r="F22" s="71"/>
      <c r="G22" s="71">
        <v>2</v>
      </c>
      <c r="H22" s="70"/>
      <c r="I22" s="70"/>
      <c r="J22" s="70"/>
      <c r="K22" s="70"/>
      <c r="L22" s="70">
        <v>6</v>
      </c>
      <c r="M22" s="70"/>
      <c r="N22" s="77"/>
      <c r="O22" s="77">
        <v>0.4536</v>
      </c>
      <c r="P22" s="78">
        <f t="shared" si="0"/>
        <v>5.4432</v>
      </c>
      <c r="Q22" s="86">
        <f t="shared" si="1"/>
        <v>5.4432000000000005E-3</v>
      </c>
    </row>
    <row r="23" spans="1:17" ht="16.899999999999999" customHeight="1">
      <c r="A23" s="68">
        <v>13</v>
      </c>
      <c r="B23" s="69" t="s">
        <v>1048</v>
      </c>
      <c r="C23" s="70" t="s">
        <v>1033</v>
      </c>
      <c r="D23" s="71" t="s">
        <v>1037</v>
      </c>
      <c r="E23" s="71"/>
      <c r="F23" s="71">
        <v>18</v>
      </c>
      <c r="G23" s="71">
        <v>30</v>
      </c>
      <c r="H23" s="70"/>
      <c r="I23" s="70"/>
      <c r="J23" s="70"/>
      <c r="K23" s="70">
        <v>7.1</v>
      </c>
      <c r="L23" s="70">
        <v>12.3</v>
      </c>
      <c r="M23" s="70"/>
      <c r="N23" s="77"/>
      <c r="O23" s="77">
        <v>0.4536</v>
      </c>
      <c r="P23" s="78">
        <f t="shared" si="0"/>
        <v>225.34848</v>
      </c>
      <c r="Q23" s="86">
        <f t="shared" si="1"/>
        <v>0.22534847999999999</v>
      </c>
    </row>
    <row r="24" spans="1:17" ht="16.899999999999999" customHeight="1">
      <c r="A24" s="68">
        <v>14</v>
      </c>
      <c r="B24" s="69" t="s">
        <v>1049</v>
      </c>
      <c r="C24" s="70" t="s">
        <v>1033</v>
      </c>
      <c r="D24" s="71" t="s">
        <v>1034</v>
      </c>
      <c r="E24" s="71"/>
      <c r="F24" s="71">
        <v>2</v>
      </c>
      <c r="G24" s="71">
        <v>4</v>
      </c>
      <c r="H24" s="70">
        <v>1</v>
      </c>
      <c r="I24" s="70"/>
      <c r="J24" s="70"/>
      <c r="K24" s="70">
        <v>11.8</v>
      </c>
      <c r="L24" s="70">
        <v>21.3</v>
      </c>
      <c r="M24" s="70">
        <v>31.9</v>
      </c>
      <c r="N24" s="77"/>
      <c r="O24" s="77">
        <v>0.4536</v>
      </c>
      <c r="P24" s="78">
        <f t="shared" si="0"/>
        <v>63.821520000000007</v>
      </c>
      <c r="Q24" s="86">
        <f t="shared" si="1"/>
        <v>6.3821520000000007E-2</v>
      </c>
    </row>
    <row r="25" spans="1:17" ht="16.899999999999999" customHeight="1">
      <c r="A25" s="68">
        <v>15</v>
      </c>
      <c r="B25" s="69" t="s">
        <v>1050</v>
      </c>
      <c r="C25" s="70" t="s">
        <v>1033</v>
      </c>
      <c r="D25" s="71" t="s">
        <v>1034</v>
      </c>
      <c r="E25" s="71"/>
      <c r="F25" s="71">
        <v>15</v>
      </c>
      <c r="G25" s="71">
        <v>22</v>
      </c>
      <c r="H25" s="70"/>
      <c r="I25" s="70"/>
      <c r="J25" s="70"/>
      <c r="K25" s="70">
        <v>11.8</v>
      </c>
      <c r="L25" s="70">
        <v>21.3</v>
      </c>
      <c r="M25" s="70"/>
      <c r="N25" s="77"/>
      <c r="O25" s="77">
        <v>0.4536</v>
      </c>
      <c r="P25" s="78">
        <f t="shared" si="0"/>
        <v>292.84415999999999</v>
      </c>
      <c r="Q25" s="86">
        <f t="shared" si="1"/>
        <v>0.29284415999999996</v>
      </c>
    </row>
    <row r="26" spans="1:17" ht="16.899999999999999" customHeight="1">
      <c r="A26" s="68">
        <v>16</v>
      </c>
      <c r="B26" s="69" t="s">
        <v>1051</v>
      </c>
      <c r="C26" s="72" t="s">
        <v>1052</v>
      </c>
      <c r="D26" s="71" t="s">
        <v>1037</v>
      </c>
      <c r="E26" s="71"/>
      <c r="F26" s="71"/>
      <c r="G26" s="71">
        <v>6</v>
      </c>
      <c r="H26" s="70"/>
      <c r="I26" s="70"/>
      <c r="J26" s="70"/>
      <c r="K26" s="70"/>
      <c r="L26" s="70">
        <v>8.1999999999999993</v>
      </c>
      <c r="M26" s="70"/>
      <c r="N26" s="77"/>
      <c r="O26" s="77">
        <v>0.4536</v>
      </c>
      <c r="P26" s="78">
        <f t="shared" si="0"/>
        <v>22.317119999999999</v>
      </c>
      <c r="Q26" s="86">
        <f t="shared" si="1"/>
        <v>2.2317119999999999E-2</v>
      </c>
    </row>
    <row r="27" spans="1:17" ht="16.899999999999999" customHeight="1">
      <c r="A27" s="68">
        <v>17</v>
      </c>
      <c r="B27" s="69" t="s">
        <v>1053</v>
      </c>
      <c r="C27" s="70" t="s">
        <v>1033</v>
      </c>
      <c r="D27" s="71" t="s">
        <v>1042</v>
      </c>
      <c r="E27" s="71"/>
      <c r="F27" s="71"/>
      <c r="G27" s="71">
        <v>12</v>
      </c>
      <c r="H27" s="70"/>
      <c r="I27" s="70"/>
      <c r="J27" s="70"/>
      <c r="K27" s="70"/>
      <c r="L27" s="70">
        <v>6</v>
      </c>
      <c r="M27" s="70"/>
      <c r="N27" s="77"/>
      <c r="O27" s="77">
        <v>0.4536</v>
      </c>
      <c r="P27" s="78">
        <f t="shared" si="0"/>
        <v>32.659199999999998</v>
      </c>
      <c r="Q27" s="86">
        <f t="shared" si="1"/>
        <v>3.2659199999999999E-2</v>
      </c>
    </row>
    <row r="28" spans="1:17" ht="16.899999999999999" customHeight="1">
      <c r="A28" s="68">
        <v>18</v>
      </c>
      <c r="B28" s="69" t="s">
        <v>1054</v>
      </c>
      <c r="C28" s="70" t="s">
        <v>1052</v>
      </c>
      <c r="D28" s="70" t="s">
        <v>1034</v>
      </c>
      <c r="E28" s="71"/>
      <c r="F28" s="71"/>
      <c r="G28" s="71"/>
      <c r="H28" s="71"/>
      <c r="I28" s="70">
        <v>5</v>
      </c>
      <c r="J28" s="70"/>
      <c r="K28" s="70"/>
      <c r="L28" s="70"/>
      <c r="M28" s="70"/>
      <c r="N28" s="70">
        <v>32.799999999999997</v>
      </c>
      <c r="O28" s="77">
        <v>0.4536</v>
      </c>
      <c r="P28" s="78">
        <f t="shared" si="0"/>
        <v>74.3904</v>
      </c>
      <c r="Q28" s="86">
        <f t="shared" si="1"/>
        <v>7.4390399999999995E-2</v>
      </c>
    </row>
    <row r="29" spans="1:17" ht="17.25">
      <c r="A29" s="1068" t="s">
        <v>1055</v>
      </c>
      <c r="B29" s="1069"/>
      <c r="C29" s="1069"/>
      <c r="D29" s="73"/>
      <c r="E29" s="68"/>
      <c r="F29" s="68"/>
      <c r="G29" s="68"/>
      <c r="H29" s="68"/>
      <c r="I29" s="68"/>
      <c r="J29" s="68"/>
      <c r="K29" s="68"/>
      <c r="L29" s="68"/>
      <c r="M29" s="68"/>
      <c r="N29" s="68"/>
      <c r="O29" s="68"/>
      <c r="P29" s="79">
        <f>SUM(P11:P28)</f>
        <v>5959.6235999999972</v>
      </c>
      <c r="Q29" s="79">
        <f>SUM(Q11:Q28)</f>
        <v>5.9596236000000014</v>
      </c>
    </row>
    <row r="30" spans="1:17" ht="6" customHeight="1">
      <c r="A30" s="74"/>
      <c r="B30" s="74"/>
      <c r="C30" s="74"/>
      <c r="D30" s="75"/>
      <c r="E30" s="76"/>
      <c r="F30" s="76"/>
      <c r="G30" s="76"/>
      <c r="H30" s="76"/>
      <c r="I30" s="76"/>
      <c r="J30" s="76"/>
      <c r="K30" s="76"/>
      <c r="L30" s="76"/>
      <c r="M30" s="76"/>
      <c r="N30" s="76"/>
      <c r="O30" s="76"/>
      <c r="P30" s="80"/>
      <c r="Q30" s="80"/>
    </row>
    <row r="31" spans="1:17" ht="16.5">
      <c r="A31" s="76"/>
      <c r="B31" s="75"/>
      <c r="C31" s="75"/>
      <c r="D31" s="75"/>
      <c r="E31" s="76"/>
      <c r="F31" s="76"/>
      <c r="G31" s="76"/>
      <c r="H31" s="76"/>
      <c r="I31" s="76"/>
      <c r="J31" s="76"/>
      <c r="K31" s="76"/>
      <c r="L31" s="76"/>
      <c r="M31" s="76"/>
      <c r="N31" s="76"/>
      <c r="O31" s="76"/>
      <c r="P31" s="76"/>
      <c r="Q31" s="87"/>
    </row>
    <row r="32" spans="1:17" ht="16.5">
      <c r="A32" s="1070" t="s">
        <v>1056</v>
      </c>
      <c r="B32" s="1070"/>
      <c r="C32" s="75"/>
      <c r="D32" s="75"/>
      <c r="E32" s="76"/>
      <c r="F32" s="76"/>
      <c r="G32" s="76"/>
      <c r="H32" s="76"/>
      <c r="I32" s="76"/>
      <c r="J32" s="76"/>
      <c r="K32" s="76"/>
      <c r="L32" s="76"/>
      <c r="M32" s="76"/>
      <c r="N32" s="76"/>
      <c r="O32" s="76"/>
      <c r="P32" s="76"/>
      <c r="Q32" s="76"/>
    </row>
    <row r="33" spans="1:22" ht="22.15" customHeight="1">
      <c r="A33" s="1071" t="s">
        <v>1057</v>
      </c>
      <c r="B33" s="1072"/>
      <c r="C33" s="1072"/>
      <c r="D33" s="1072"/>
      <c r="E33" s="1072"/>
      <c r="F33" s="1072"/>
      <c r="G33" s="1072"/>
      <c r="H33" s="1072"/>
      <c r="I33" s="1072"/>
      <c r="J33" s="1072"/>
      <c r="K33" s="1072"/>
      <c r="L33" s="1072"/>
      <c r="M33" s="1072"/>
      <c r="N33" s="1072"/>
      <c r="O33" s="1072"/>
      <c r="P33" s="1072"/>
      <c r="Q33" s="1072"/>
    </row>
    <row r="34" spans="1:22" ht="19.899999999999999" customHeight="1">
      <c r="A34" s="1071" t="s">
        <v>1058</v>
      </c>
      <c r="B34" s="1072"/>
      <c r="C34" s="1072"/>
      <c r="D34" s="1072"/>
      <c r="E34" s="1072"/>
      <c r="F34" s="1072"/>
      <c r="G34" s="1072"/>
      <c r="H34" s="1072"/>
      <c r="I34" s="1072"/>
      <c r="J34" s="1072"/>
      <c r="K34" s="1072"/>
      <c r="L34" s="1072"/>
      <c r="M34" s="1072"/>
      <c r="N34" s="1072"/>
      <c r="O34" s="1072"/>
      <c r="P34" s="1072"/>
      <c r="Q34" s="1072"/>
    </row>
    <row r="35" spans="1:22" ht="79.150000000000006" customHeight="1">
      <c r="A35" s="1071" t="s">
        <v>1059</v>
      </c>
      <c r="B35" s="1072"/>
      <c r="C35" s="1072"/>
      <c r="D35" s="1072"/>
      <c r="E35" s="1072"/>
      <c r="F35" s="1072"/>
      <c r="G35" s="1072"/>
      <c r="H35" s="1072"/>
      <c r="I35" s="1072"/>
      <c r="J35" s="1072"/>
      <c r="K35" s="1072"/>
      <c r="L35" s="1072"/>
      <c r="M35" s="1072"/>
      <c r="N35" s="1072"/>
      <c r="O35" s="1072"/>
      <c r="P35" s="1072"/>
      <c r="Q35" s="1072"/>
      <c r="R35" s="88"/>
      <c r="S35" s="88"/>
      <c r="T35" s="88"/>
      <c r="U35" s="88"/>
      <c r="V35" s="88"/>
    </row>
  </sheetData>
  <autoFilter ref="A8:W29" xr:uid="{00000000-0009-0000-0000-00001F000000}"/>
  <mergeCells count="21">
    <mergeCell ref="V7:W7"/>
    <mergeCell ref="E8:I8"/>
    <mergeCell ref="J8:N8"/>
    <mergeCell ref="A8:A9"/>
    <mergeCell ref="B8:B9"/>
    <mergeCell ref="C8:C9"/>
    <mergeCell ref="D8:D9"/>
    <mergeCell ref="O8:O9"/>
    <mergeCell ref="P8:P9"/>
    <mergeCell ref="Q8:Q9"/>
    <mergeCell ref="A33:Q33"/>
    <mergeCell ref="A34:Q34"/>
    <mergeCell ref="A35:Q35"/>
    <mergeCell ref="A4:P4"/>
    <mergeCell ref="A5:P5"/>
    <mergeCell ref="A6:P6"/>
    <mergeCell ref="A1:B3"/>
    <mergeCell ref="C1:O3"/>
    <mergeCell ref="P1:Q3"/>
    <mergeCell ref="A29:C29"/>
    <mergeCell ref="A32:B32"/>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0"/>
    <pageSetUpPr fitToPage="1"/>
  </sheetPr>
  <dimension ref="A1:L30"/>
  <sheetViews>
    <sheetView topLeftCell="A20" zoomScale="90" zoomScaleNormal="90" workbookViewId="0">
      <selection activeCell="H1" sqref="H1:H4"/>
    </sheetView>
  </sheetViews>
  <sheetFormatPr defaultColWidth="9.28515625" defaultRowHeight="14.25"/>
  <cols>
    <col min="1" max="1" width="9.28515625" style="18" customWidth="1"/>
    <col min="2" max="2" width="22.140625" style="18" customWidth="1"/>
    <col min="3" max="5" width="20.28515625" style="18" customWidth="1"/>
    <col min="6" max="6" width="25.7109375" style="18" customWidth="1"/>
    <col min="7" max="7" width="32.5703125" style="18" customWidth="1"/>
    <col min="8" max="8" width="46.42578125" style="18" customWidth="1"/>
    <col min="9" max="9" width="9.28515625" style="18"/>
    <col min="10" max="11" width="14.28515625" style="19" customWidth="1"/>
    <col min="12" max="12" width="14.28515625" style="20" customWidth="1"/>
    <col min="13" max="16384" width="9.28515625" style="18"/>
  </cols>
  <sheetData>
    <row r="1" spans="1:12" ht="25.9" customHeight="1">
      <c r="A1" s="659"/>
      <c r="B1" s="659"/>
      <c r="C1" s="780" t="s">
        <v>1060</v>
      </c>
      <c r="D1" s="780"/>
      <c r="E1" s="780"/>
      <c r="F1" s="780"/>
      <c r="G1" s="780"/>
      <c r="H1" s="780" t="s">
        <v>1126</v>
      </c>
    </row>
    <row r="2" spans="1:12" ht="27.6" customHeight="1">
      <c r="A2" s="659"/>
      <c r="B2" s="659"/>
      <c r="C2" s="780"/>
      <c r="D2" s="780"/>
      <c r="E2" s="780"/>
      <c r="F2" s="780"/>
      <c r="G2" s="780"/>
      <c r="H2" s="780"/>
    </row>
    <row r="3" spans="1:12" ht="16.149999999999999" customHeight="1">
      <c r="A3" s="659"/>
      <c r="B3" s="659"/>
      <c r="C3" s="780"/>
      <c r="D3" s="780"/>
      <c r="E3" s="780"/>
      <c r="F3" s="780"/>
      <c r="G3" s="780"/>
      <c r="H3" s="780"/>
    </row>
    <row r="4" spans="1:12" ht="25.9" customHeight="1">
      <c r="A4" s="659"/>
      <c r="B4" s="659"/>
      <c r="C4" s="780"/>
      <c r="D4" s="780"/>
      <c r="E4" s="780"/>
      <c r="F4" s="780"/>
      <c r="G4" s="780"/>
      <c r="H4" s="780"/>
    </row>
    <row r="5" spans="1:12" ht="16.5">
      <c r="A5" s="22" t="s">
        <v>1061</v>
      </c>
      <c r="B5" s="23"/>
      <c r="C5" s="23"/>
      <c r="D5" s="23"/>
      <c r="E5" s="23"/>
      <c r="F5" s="23"/>
      <c r="G5" s="23"/>
      <c r="H5" s="24"/>
    </row>
    <row r="6" spans="1:12" ht="19.5">
      <c r="A6" s="25" t="s">
        <v>698</v>
      </c>
      <c r="B6" s="23"/>
      <c r="C6" s="23"/>
      <c r="D6" s="23"/>
      <c r="E6" s="23"/>
      <c r="F6" s="23"/>
      <c r="G6" s="23"/>
      <c r="H6" s="24"/>
    </row>
    <row r="7" spans="1:12" ht="19.5">
      <c r="A7" s="26" t="s">
        <v>1062</v>
      </c>
      <c r="B7" s="23"/>
      <c r="C7" s="23"/>
      <c r="D7" s="23"/>
      <c r="E7" s="23"/>
      <c r="F7" s="23"/>
      <c r="G7" s="23"/>
      <c r="H7" s="24"/>
    </row>
    <row r="8" spans="1:12" ht="16.5">
      <c r="A8" s="27" t="s">
        <v>493</v>
      </c>
      <c r="B8" s="23"/>
      <c r="C8" s="23"/>
      <c r="D8" s="23"/>
      <c r="E8" s="23"/>
      <c r="F8" s="23"/>
      <c r="G8" s="23"/>
      <c r="H8" s="24"/>
    </row>
    <row r="9" spans="1:12" ht="49.5">
      <c r="A9" s="28" t="s">
        <v>494</v>
      </c>
      <c r="B9" s="28" t="s">
        <v>1063</v>
      </c>
      <c r="C9" s="28" t="s">
        <v>1064</v>
      </c>
      <c r="D9" s="29" t="s">
        <v>1065</v>
      </c>
      <c r="E9" s="29" t="s">
        <v>1066</v>
      </c>
      <c r="F9" s="28" t="s">
        <v>1067</v>
      </c>
      <c r="G9" s="28" t="s">
        <v>1068</v>
      </c>
      <c r="H9" s="28" t="s">
        <v>1069</v>
      </c>
      <c r="J9" s="19" t="s">
        <v>1070</v>
      </c>
      <c r="K9" s="19" t="s">
        <v>1066</v>
      </c>
      <c r="L9" s="20" t="s">
        <v>469</v>
      </c>
    </row>
    <row r="10" spans="1:12" ht="16.5">
      <c r="A10" s="567" t="s">
        <v>510</v>
      </c>
      <c r="B10" s="567" t="s">
        <v>511</v>
      </c>
      <c r="C10" s="567" t="s">
        <v>575</v>
      </c>
      <c r="D10" s="31"/>
      <c r="E10" s="31"/>
      <c r="F10" s="577" t="s">
        <v>513</v>
      </c>
      <c r="G10" s="577" t="s">
        <v>577</v>
      </c>
      <c r="H10" s="30" t="s">
        <v>578</v>
      </c>
      <c r="J10" s="19">
        <v>1820695</v>
      </c>
      <c r="K10" s="19">
        <v>776</v>
      </c>
      <c r="L10" s="54">
        <f>+J10+K10</f>
        <v>1821471</v>
      </c>
    </row>
    <row r="11" spans="1:12" ht="16.5">
      <c r="A11" s="30">
        <v>1</v>
      </c>
      <c r="B11" s="30" t="s">
        <v>1071</v>
      </c>
      <c r="C11" s="30" t="s">
        <v>1072</v>
      </c>
      <c r="D11" s="32">
        <v>1820695</v>
      </c>
      <c r="E11" s="30">
        <v>776</v>
      </c>
      <c r="F11" s="32">
        <v>1821471</v>
      </c>
      <c r="G11" s="33">
        <v>0.65920000000000001</v>
      </c>
      <c r="H11" s="34">
        <f>F11*G11/1000</f>
        <v>1200.7136832000001</v>
      </c>
      <c r="J11" s="19">
        <v>1059731.6000000001</v>
      </c>
      <c r="K11" s="19">
        <v>846</v>
      </c>
      <c r="L11" s="54">
        <f t="shared" ref="L11:L21" si="0">+J11+K11</f>
        <v>1060577.6000000001</v>
      </c>
    </row>
    <row r="12" spans="1:12" ht="16.5">
      <c r="A12" s="30">
        <v>2</v>
      </c>
      <c r="B12" s="30" t="s">
        <v>1071</v>
      </c>
      <c r="C12" s="30" t="s">
        <v>1072</v>
      </c>
      <c r="D12" s="32">
        <v>1059731.6000000001</v>
      </c>
      <c r="E12" s="30">
        <v>846</v>
      </c>
      <c r="F12" s="32">
        <v>1060577.6000000001</v>
      </c>
      <c r="G12" s="33">
        <v>0.65920000000000001</v>
      </c>
      <c r="H12" s="34">
        <f t="shared" ref="H12:H22" si="1">F12*G12/1000</f>
        <v>699.13275392000003</v>
      </c>
      <c r="J12" s="19">
        <v>1900212.4214359999</v>
      </c>
      <c r="K12" s="19">
        <v>846</v>
      </c>
      <c r="L12" s="54">
        <f t="shared" si="0"/>
        <v>1901058.4214359999</v>
      </c>
    </row>
    <row r="13" spans="1:12" ht="16.5">
      <c r="A13" s="30">
        <v>3</v>
      </c>
      <c r="B13" s="30" t="s">
        <v>1071</v>
      </c>
      <c r="C13" s="30" t="s">
        <v>1072</v>
      </c>
      <c r="D13" s="32">
        <v>1900212.4214359999</v>
      </c>
      <c r="E13" s="30">
        <v>846</v>
      </c>
      <c r="F13" s="32">
        <v>1901058.4214359999</v>
      </c>
      <c r="G13" s="33">
        <v>0.65920000000000001</v>
      </c>
      <c r="H13" s="34">
        <f t="shared" si="1"/>
        <v>1253.1777114106112</v>
      </c>
      <c r="J13" s="19">
        <v>1863656.2901320001</v>
      </c>
      <c r="K13" s="19">
        <v>995</v>
      </c>
      <c r="L13" s="54">
        <f t="shared" si="0"/>
        <v>1864651.2901320001</v>
      </c>
    </row>
    <row r="14" spans="1:12" ht="16.5">
      <c r="A14" s="30">
        <v>4</v>
      </c>
      <c r="B14" s="30" t="s">
        <v>1071</v>
      </c>
      <c r="C14" s="30" t="s">
        <v>1072</v>
      </c>
      <c r="D14" s="32">
        <v>1863656.2901320001</v>
      </c>
      <c r="E14" s="30">
        <v>995</v>
      </c>
      <c r="F14" s="32">
        <v>1864651.2901320001</v>
      </c>
      <c r="G14" s="33">
        <v>0.65920000000000001</v>
      </c>
      <c r="H14" s="34">
        <f t="shared" si="1"/>
        <v>1229.1781304550145</v>
      </c>
      <c r="J14" s="19">
        <v>2036632.939668</v>
      </c>
      <c r="K14" s="19">
        <v>983</v>
      </c>
      <c r="L14" s="54">
        <f t="shared" si="0"/>
        <v>2037615.939668</v>
      </c>
    </row>
    <row r="15" spans="1:12" ht="16.5">
      <c r="A15" s="30">
        <v>5</v>
      </c>
      <c r="B15" s="30" t="s">
        <v>1071</v>
      </c>
      <c r="C15" s="30" t="s">
        <v>1072</v>
      </c>
      <c r="D15" s="32">
        <v>2036632.939668</v>
      </c>
      <c r="E15" s="30">
        <v>983</v>
      </c>
      <c r="F15" s="32">
        <v>2037615.939668</v>
      </c>
      <c r="G15" s="33">
        <v>0.65920000000000001</v>
      </c>
      <c r="H15" s="34">
        <f t="shared" si="1"/>
        <v>1343.1964274291456</v>
      </c>
      <c r="J15" s="19">
        <v>1839003.3157919999</v>
      </c>
      <c r="K15" s="19">
        <v>929</v>
      </c>
      <c r="L15" s="54">
        <f t="shared" si="0"/>
        <v>1839932.3157919999</v>
      </c>
    </row>
    <row r="16" spans="1:12" ht="16.5">
      <c r="A16" s="30">
        <v>6</v>
      </c>
      <c r="B16" s="30" t="s">
        <v>1071</v>
      </c>
      <c r="C16" s="30" t="s">
        <v>1072</v>
      </c>
      <c r="D16" s="32">
        <v>1839003.3157919999</v>
      </c>
      <c r="E16" s="30">
        <v>929</v>
      </c>
      <c r="F16" s="32">
        <v>1839932.3157919999</v>
      </c>
      <c r="G16" s="33">
        <v>0.65920000000000001</v>
      </c>
      <c r="H16" s="34">
        <f t="shared" si="1"/>
        <v>1212.8833825700863</v>
      </c>
      <c r="J16" s="19">
        <v>2166331</v>
      </c>
      <c r="K16" s="19">
        <v>805</v>
      </c>
      <c r="L16" s="54">
        <f t="shared" si="0"/>
        <v>2167136</v>
      </c>
    </row>
    <row r="17" spans="1:12" ht="16.5">
      <c r="A17" s="30">
        <v>7</v>
      </c>
      <c r="B17" s="30" t="s">
        <v>1071</v>
      </c>
      <c r="C17" s="30" t="s">
        <v>1072</v>
      </c>
      <c r="D17" s="32">
        <v>2166331</v>
      </c>
      <c r="E17" s="30">
        <v>805</v>
      </c>
      <c r="F17" s="32">
        <v>2167136</v>
      </c>
      <c r="G17" s="33">
        <v>0.65920000000000001</v>
      </c>
      <c r="H17" s="34">
        <f t="shared" si="1"/>
        <v>1428.5760512000002</v>
      </c>
      <c r="J17" s="19">
        <v>2406344</v>
      </c>
      <c r="K17" s="19">
        <v>866</v>
      </c>
      <c r="L17" s="54">
        <f t="shared" si="0"/>
        <v>2407210</v>
      </c>
    </row>
    <row r="18" spans="1:12" ht="16.5">
      <c r="A18" s="30">
        <v>8</v>
      </c>
      <c r="B18" s="30" t="s">
        <v>1071</v>
      </c>
      <c r="C18" s="30" t="s">
        <v>1072</v>
      </c>
      <c r="D18" s="32">
        <v>2406344</v>
      </c>
      <c r="E18" s="30">
        <v>866</v>
      </c>
      <c r="F18" s="32">
        <v>2407210</v>
      </c>
      <c r="G18" s="33">
        <v>0.65920000000000001</v>
      </c>
      <c r="H18" s="34">
        <f t="shared" si="1"/>
        <v>1586.8328319999998</v>
      </c>
      <c r="J18" s="19">
        <v>2011563</v>
      </c>
      <c r="K18" s="19">
        <v>778</v>
      </c>
      <c r="L18" s="54">
        <f t="shared" si="0"/>
        <v>2012341</v>
      </c>
    </row>
    <row r="19" spans="1:12" ht="16.5">
      <c r="A19" s="30">
        <v>9</v>
      </c>
      <c r="B19" s="30" t="s">
        <v>1071</v>
      </c>
      <c r="C19" s="30" t="s">
        <v>1072</v>
      </c>
      <c r="D19" s="32">
        <v>2011563</v>
      </c>
      <c r="E19" s="30">
        <v>778</v>
      </c>
      <c r="F19" s="32">
        <v>2012341</v>
      </c>
      <c r="G19" s="33">
        <v>0.65920000000000001</v>
      </c>
      <c r="H19" s="34">
        <f t="shared" si="1"/>
        <v>1326.5351872000001</v>
      </c>
      <c r="J19" s="19">
        <v>2302550</v>
      </c>
      <c r="K19" s="19">
        <v>797</v>
      </c>
      <c r="L19" s="54">
        <f t="shared" si="0"/>
        <v>2303347</v>
      </c>
    </row>
    <row r="20" spans="1:12" ht="16.5">
      <c r="A20" s="30">
        <v>10</v>
      </c>
      <c r="B20" s="30" t="s">
        <v>1071</v>
      </c>
      <c r="C20" s="30" t="s">
        <v>1072</v>
      </c>
      <c r="D20" s="32">
        <v>2302550</v>
      </c>
      <c r="E20" s="30">
        <v>797</v>
      </c>
      <c r="F20" s="32">
        <v>2303347</v>
      </c>
      <c r="G20" s="33">
        <v>0.65920000000000001</v>
      </c>
      <c r="H20" s="34">
        <f t="shared" si="1"/>
        <v>1518.3663423999999</v>
      </c>
      <c r="J20" s="19">
        <v>2252589</v>
      </c>
      <c r="K20" s="19">
        <v>791</v>
      </c>
      <c r="L20" s="54">
        <f t="shared" si="0"/>
        <v>2253380</v>
      </c>
    </row>
    <row r="21" spans="1:12" ht="16.5">
      <c r="A21" s="30">
        <v>11</v>
      </c>
      <c r="B21" s="30" t="s">
        <v>1071</v>
      </c>
      <c r="C21" s="30" t="s">
        <v>1072</v>
      </c>
      <c r="D21" s="32">
        <v>2252589</v>
      </c>
      <c r="E21" s="30">
        <v>791</v>
      </c>
      <c r="F21" s="32">
        <v>2253380</v>
      </c>
      <c r="G21" s="33">
        <v>0.65920000000000001</v>
      </c>
      <c r="H21" s="34">
        <f t="shared" si="1"/>
        <v>1485.4280959999999</v>
      </c>
      <c r="J21" s="19">
        <v>2267862</v>
      </c>
      <c r="K21" s="19">
        <v>765</v>
      </c>
      <c r="L21" s="54">
        <f t="shared" si="0"/>
        <v>2268627</v>
      </c>
    </row>
    <row r="22" spans="1:12" ht="16.5">
      <c r="A22" s="30">
        <v>12</v>
      </c>
      <c r="B22" s="30" t="s">
        <v>1071</v>
      </c>
      <c r="C22" s="30" t="s">
        <v>1072</v>
      </c>
      <c r="D22" s="32">
        <v>2267862</v>
      </c>
      <c r="E22" s="30">
        <v>765</v>
      </c>
      <c r="F22" s="32">
        <v>2268627</v>
      </c>
      <c r="G22" s="33">
        <v>0.65920000000000001</v>
      </c>
      <c r="H22" s="34">
        <f t="shared" si="1"/>
        <v>1495.4789184000001</v>
      </c>
      <c r="J22" s="19">
        <f>SUM(J10:J21)</f>
        <v>23927170.567028001</v>
      </c>
      <c r="K22" s="19">
        <f t="shared" ref="K22:L22" si="2">SUM(K10:K21)</f>
        <v>10177</v>
      </c>
      <c r="L22" s="19">
        <f t="shared" si="2"/>
        <v>23937347.567028001</v>
      </c>
    </row>
    <row r="23" spans="1:12" s="17" customFormat="1" ht="16.5">
      <c r="A23" s="923" t="s">
        <v>469</v>
      </c>
      <c r="B23" s="924"/>
      <c r="C23" s="925"/>
      <c r="D23" s="38">
        <v>23927170.567028001</v>
      </c>
      <c r="E23" s="37">
        <v>10177</v>
      </c>
      <c r="F23" s="39">
        <f>SUM(F11:F22)</f>
        <v>23937347.567028001</v>
      </c>
      <c r="G23" s="40"/>
      <c r="H23" s="41">
        <f>SUM(H11:H22)</f>
        <v>15779.499516184856</v>
      </c>
      <c r="J23" s="55"/>
      <c r="K23" s="55"/>
      <c r="L23" s="56"/>
    </row>
    <row r="24" spans="1:12" ht="16.5">
      <c r="A24" s="42"/>
      <c r="B24" s="42"/>
      <c r="C24" s="42"/>
      <c r="D24" s="42"/>
      <c r="E24" s="42"/>
      <c r="F24" s="42"/>
      <c r="G24" s="43"/>
      <c r="H24" s="42"/>
    </row>
    <row r="25" spans="1:12" ht="22.9" customHeight="1">
      <c r="A25" s="951" t="s">
        <v>524</v>
      </c>
      <c r="B25" s="952"/>
      <c r="C25" s="952"/>
      <c r="D25" s="952"/>
      <c r="E25" s="952"/>
      <c r="F25" s="952"/>
      <c r="G25" s="952"/>
      <c r="H25" s="953"/>
    </row>
    <row r="26" spans="1:12" ht="16.899999999999999" customHeight="1">
      <c r="A26" s="923" t="s">
        <v>843</v>
      </c>
      <c r="B26" s="925"/>
      <c r="C26" s="44" t="s">
        <v>526</v>
      </c>
      <c r="D26" s="45"/>
      <c r="E26" s="45"/>
      <c r="F26" s="951" t="s">
        <v>527</v>
      </c>
      <c r="G26" s="953"/>
      <c r="H26" s="46" t="s">
        <v>528</v>
      </c>
    </row>
    <row r="27" spans="1:12" ht="112.9" customHeight="1">
      <c r="A27" s="1085" t="s">
        <v>1073</v>
      </c>
      <c r="B27" s="1052"/>
      <c r="C27" s="33">
        <v>0.65920000000000001</v>
      </c>
      <c r="D27" s="48"/>
      <c r="E27" s="48"/>
      <c r="F27" s="1086" t="s">
        <v>1074</v>
      </c>
      <c r="G27" s="1087"/>
      <c r="H27" s="33" t="s">
        <v>1075</v>
      </c>
    </row>
    <row r="28" spans="1:12" ht="24.6" customHeight="1">
      <c r="A28" s="49"/>
      <c r="B28" s="49"/>
      <c r="C28" s="49"/>
      <c r="D28" s="49"/>
      <c r="E28" s="49"/>
      <c r="F28" s="49"/>
      <c r="G28" s="50"/>
      <c r="H28" s="51"/>
    </row>
    <row r="29" spans="1:12" ht="16.5">
      <c r="A29" s="52"/>
      <c r="B29" s="52"/>
      <c r="C29" s="52"/>
      <c r="D29" s="52"/>
      <c r="E29" s="52"/>
      <c r="F29" s="52"/>
      <c r="G29" s="52"/>
      <c r="H29" s="52"/>
    </row>
    <row r="30" spans="1:12" ht="16.5">
      <c r="A30" s="53" t="s">
        <v>1076</v>
      </c>
      <c r="B30" s="52"/>
      <c r="C30" s="52"/>
      <c r="D30" s="52"/>
      <c r="E30" s="52"/>
      <c r="F30" s="52"/>
      <c r="G30" s="52"/>
      <c r="H30" s="52"/>
    </row>
  </sheetData>
  <mergeCells count="9">
    <mergeCell ref="A26:B26"/>
    <mergeCell ref="F26:G26"/>
    <mergeCell ref="A27:B27"/>
    <mergeCell ref="F27:G27"/>
    <mergeCell ref="H1:H4"/>
    <mergeCell ref="A1:B4"/>
    <mergeCell ref="C1:G4"/>
    <mergeCell ref="A23:C23"/>
    <mergeCell ref="A25:H25"/>
  </mergeCells>
  <dataValidations count="1">
    <dataValidation type="decimal" errorStyle="warning" allowBlank="1" showInputMessage="1" showErrorMessage="1" errorTitle="Input error" error="Value is not a number!" promptTitle="Allowed input" sqref="F11:F22" xr:uid="{00000000-0002-0000-2000-000000000000}"/>
  </dataValidations>
  <pageMargins left="0.98425196850393704" right="0.59055118110236204" top="0.78740157480314998" bottom="0.78740157480314998" header="0.31496062992126" footer="0.31496062992126"/>
  <pageSetup paperSize="9" scale="61"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0"/>
    <pageSetUpPr fitToPage="1"/>
  </sheetPr>
  <dimension ref="A1:N38"/>
  <sheetViews>
    <sheetView tabSelected="1" workbookViewId="0">
      <selection activeCell="B7" sqref="B7"/>
    </sheetView>
  </sheetViews>
  <sheetFormatPr defaultColWidth="9" defaultRowHeight="15"/>
  <cols>
    <col min="1" max="1" width="44.140625" customWidth="1"/>
    <col min="2" max="5" width="12.7109375" customWidth="1"/>
    <col min="6" max="6" width="13.42578125" style="1" customWidth="1"/>
    <col min="7" max="7" width="18.85546875" customWidth="1"/>
  </cols>
  <sheetData>
    <row r="1" spans="1:14" ht="22.5" customHeight="1">
      <c r="A1" s="1088" t="s">
        <v>1077</v>
      </c>
      <c r="B1" s="1088"/>
      <c r="C1" s="1088"/>
      <c r="D1" s="1088"/>
      <c r="E1" s="1088"/>
    </row>
    <row r="3" spans="1:14">
      <c r="A3" s="2" t="s">
        <v>1078</v>
      </c>
      <c r="B3" s="2" t="s">
        <v>24</v>
      </c>
      <c r="C3" s="2" t="s">
        <v>445</v>
      </c>
      <c r="D3" s="2" t="s">
        <v>446</v>
      </c>
      <c r="E3" s="2" t="s">
        <v>1079</v>
      </c>
      <c r="F3" s="645" t="s">
        <v>469</v>
      </c>
    </row>
    <row r="4" spans="1:14" s="644" customFormat="1" ht="35.25" customHeight="1">
      <c r="A4" s="641" t="s">
        <v>1080</v>
      </c>
      <c r="B4" s="642">
        <f>+B6+B25+B30+B33</f>
        <v>1076.7623045861799</v>
      </c>
      <c r="C4" s="642">
        <f>+C6+C25+C30+C33</f>
        <v>24.460401290812023</v>
      </c>
      <c r="D4" s="642">
        <f>+D6+D25+D30+D33</f>
        <v>12.4504925573422</v>
      </c>
      <c r="E4" s="642">
        <f>+E6+E25+E30+E33</f>
        <v>12.593820000000001</v>
      </c>
      <c r="F4" s="646">
        <f>+B4+C4+D4+E4</f>
        <v>1126.2670184343342</v>
      </c>
      <c r="G4" s="643">
        <f>+B4+C4+D4+E4</f>
        <v>1126.2670184343342</v>
      </c>
      <c r="J4" s="644">
        <v>1005.468</v>
      </c>
      <c r="K4" s="644">
        <v>24.071999999999999</v>
      </c>
      <c r="L4" s="644">
        <v>13.705</v>
      </c>
      <c r="M4" s="644">
        <v>69.325999999999993</v>
      </c>
      <c r="N4" s="644">
        <f>+J4+K4+L4+M4</f>
        <v>1112.5709999999999</v>
      </c>
    </row>
    <row r="5" spans="1:14">
      <c r="A5" s="2"/>
      <c r="B5" s="3">
        <f>+B4/$G$4</f>
        <v>0.95604531337784115</v>
      </c>
      <c r="C5" s="3">
        <f t="shared" ref="C5:F5" si="0">+C4/$G$4</f>
        <v>2.1718119140890176E-2</v>
      </c>
      <c r="D5" s="3">
        <f t="shared" si="0"/>
        <v>1.1054654316922192E-2</v>
      </c>
      <c r="E5" s="3">
        <f t="shared" si="0"/>
        <v>1.1181913164346356E-2</v>
      </c>
      <c r="F5" s="3">
        <f t="shared" si="0"/>
        <v>1</v>
      </c>
    </row>
    <row r="6" spans="1:14" s="637" customFormat="1" ht="35.25" customHeight="1">
      <c r="A6" s="634" t="s">
        <v>1081</v>
      </c>
      <c r="B6" s="635">
        <f>B7+B21</f>
        <v>1076.7549045861799</v>
      </c>
      <c r="C6" s="635">
        <f>C7+C21</f>
        <v>1.20882029081202</v>
      </c>
      <c r="D6" s="635">
        <f>D7+D21</f>
        <v>9.04174303548516</v>
      </c>
      <c r="E6" s="635">
        <f>E7+E21</f>
        <v>0</v>
      </c>
      <c r="F6" s="647"/>
      <c r="G6" s="636">
        <f>+B6+C6+D6</f>
        <v>1087.0054679124771</v>
      </c>
    </row>
    <row r="7" spans="1:14" s="633" customFormat="1" ht="29.25" customHeight="1">
      <c r="A7" s="630" t="s">
        <v>1082</v>
      </c>
      <c r="B7" s="631">
        <f>+B8+B18</f>
        <v>790.37354843899993</v>
      </c>
      <c r="C7" s="631">
        <f>+C8+C18</f>
        <v>0.64779178660739989</v>
      </c>
      <c r="D7" s="631">
        <f>+D8+D18</f>
        <v>1.2054471075737998</v>
      </c>
      <c r="E7" s="631">
        <f>+E8+E18</f>
        <v>0</v>
      </c>
      <c r="F7" s="648"/>
      <c r="G7" s="632">
        <f>+B7+C7+D7</f>
        <v>792.22678733318116</v>
      </c>
    </row>
    <row r="8" spans="1:14" s="637" customFormat="1" ht="29.25" customHeight="1">
      <c r="A8" s="634" t="s">
        <v>1083</v>
      </c>
      <c r="B8" s="635">
        <f>+SUBTOTAL(9,B9:B17)</f>
        <v>783.79632852379996</v>
      </c>
      <c r="C8" s="635">
        <f>+SUBTOTAL(9,C9:C17)</f>
        <v>0.63401443180739991</v>
      </c>
      <c r="D8" s="635">
        <f>+SUBTOTAL(9,D9:D17)</f>
        <v>1.2027508940537999</v>
      </c>
      <c r="E8" s="635">
        <f>+SUBTOTAL(9,E9:E17)</f>
        <v>0</v>
      </c>
      <c r="F8" s="647"/>
      <c r="G8" s="636">
        <f>+B8+C8+D8</f>
        <v>785.63309384966112</v>
      </c>
    </row>
    <row r="9" spans="1:14">
      <c r="A9" s="4" t="s">
        <v>1084</v>
      </c>
      <c r="B9" s="5">
        <f>+'1.1.1 DO Máy phát điện'!$I$26</f>
        <v>0.954838521</v>
      </c>
      <c r="C9" s="5">
        <f>+'1.1.1 DO Máy phát điện'!$J$26</f>
        <v>1.0785422969999999E-3</v>
      </c>
      <c r="D9" s="5">
        <f>+'1.1.1 DO Máy phát điện'!$K$26</f>
        <v>2.110695678E-3</v>
      </c>
      <c r="E9" s="6"/>
      <c r="F9" s="649">
        <f>+B9+C9+D9+E9</f>
        <v>0.95802775897500003</v>
      </c>
    </row>
    <row r="10" spans="1:14">
      <c r="A10" s="4" t="s">
        <v>1085</v>
      </c>
      <c r="B10" s="5">
        <f>+'1.1.2 Gas LPG SX'!$I$26</f>
        <v>83.449359411000003</v>
      </c>
      <c r="C10" s="5">
        <f>+'1.1.2 Gas LPG SX'!$J$26</f>
        <v>3.6897577298999999E-2</v>
      </c>
      <c r="D10" s="5">
        <f>+'1.1.2 Gas LPG SX'!$K$26</f>
        <v>3.6104081013E-2</v>
      </c>
      <c r="E10" s="6"/>
      <c r="F10" s="649">
        <f>+B10+C10+D10+E10</f>
        <v>83.522361069311998</v>
      </c>
    </row>
    <row r="11" spans="1:14">
      <c r="A11" s="4" t="s">
        <v>1127</v>
      </c>
      <c r="B11" s="5">
        <f>+'1.1.4 Methanol'!$F$25</f>
        <v>0.27500000000000002</v>
      </c>
      <c r="C11" s="5">
        <f>+'1.1.5 Xăng MCC '!$J$26</f>
        <v>1.3902190559999998E-3</v>
      </c>
      <c r="D11" s="5">
        <f>+'1.1.5 Xăng MCC '!$K$26</f>
        <v>8.161931232E-4</v>
      </c>
      <c r="E11" s="6"/>
      <c r="F11" s="649">
        <f t="shared" ref="F11:F17" si="1">+B11+C11+D11+E11</f>
        <v>0.27720641217920006</v>
      </c>
    </row>
    <row r="12" spans="1:14">
      <c r="A12" s="4" t="s">
        <v>1128</v>
      </c>
      <c r="B12" s="5">
        <f>+'1.1.6 Dầu hỏa'!$J$26</f>
        <v>510.81478969979997</v>
      </c>
      <c r="C12" s="5">
        <f>+'1.1.6 Dầu hỏa'!$K$26</f>
        <v>0.5946480931553999</v>
      </c>
      <c r="D12" s="5">
        <f>+'1.1.6 Dầu hỏa'!$L$26</f>
        <v>1.1637199242395999</v>
      </c>
      <c r="E12" s="6"/>
      <c r="F12" s="649">
        <f t="shared" si="1"/>
        <v>512.57315771719493</v>
      </c>
    </row>
    <row r="13" spans="1:14">
      <c r="A13" s="4" t="s">
        <v>1129</v>
      </c>
      <c r="B13" s="5">
        <f>+'1.1.7 Nước thủy tinh'!$F$25</f>
        <v>1.094552</v>
      </c>
      <c r="C13" s="5"/>
      <c r="D13" s="5"/>
      <c r="E13" s="6"/>
      <c r="F13" s="649">
        <f t="shared" si="1"/>
        <v>1.094552</v>
      </c>
    </row>
    <row r="14" spans="1:14">
      <c r="A14" s="4" t="s">
        <v>1130</v>
      </c>
      <c r="B14" s="5">
        <f>+'1.1.8. Sơn lõi KOALIDPASTE94i'!$Q$26</f>
        <v>3.9135030000000004</v>
      </c>
      <c r="C14" s="5"/>
      <c r="D14" s="5"/>
      <c r="E14" s="6"/>
      <c r="F14" s="650">
        <f t="shared" si="1"/>
        <v>3.9135030000000004</v>
      </c>
    </row>
    <row r="15" spans="1:14">
      <c r="A15" s="4" t="s">
        <v>666</v>
      </c>
      <c r="B15" s="5">
        <f>+'1.1.8.Sơn lõi khuôn BR-750'!$S$26</f>
        <v>6.0272834999999993</v>
      </c>
      <c r="C15" s="5"/>
      <c r="D15" s="5"/>
      <c r="E15" s="6"/>
      <c r="F15" s="650">
        <f t="shared" si="1"/>
        <v>6.0272834999999993</v>
      </c>
    </row>
    <row r="16" spans="1:14">
      <c r="A16" s="4" t="s">
        <v>1131</v>
      </c>
      <c r="B16" s="5">
        <f>+'1.1.9 Cồn Công nghiệp'!$G$25</f>
        <v>59.016019392000004</v>
      </c>
      <c r="C16" s="5"/>
      <c r="D16" s="5"/>
      <c r="E16" s="6"/>
      <c r="F16" s="649">
        <f t="shared" si="1"/>
        <v>59.016019392000004</v>
      </c>
    </row>
    <row r="17" spans="1:7">
      <c r="A17" s="4" t="s">
        <v>1132</v>
      </c>
      <c r="B17" s="5">
        <f>+'1.1.10. CO2 kết dính thao'!$J$22</f>
        <v>118.25098300000001</v>
      </c>
      <c r="C17" s="5"/>
      <c r="D17" s="5"/>
      <c r="E17" s="6"/>
      <c r="F17" s="649">
        <f t="shared" si="1"/>
        <v>118.25098300000001</v>
      </c>
    </row>
    <row r="18" spans="1:7" s="637" customFormat="1" ht="29.25" customHeight="1">
      <c r="A18" s="634" t="s">
        <v>1086</v>
      </c>
      <c r="B18" s="635">
        <f>+SUBTOTAL(9,B19:B20)</f>
        <v>6.5772199151999997</v>
      </c>
      <c r="C18" s="635">
        <f t="shared" ref="C18:E18" si="2">+SUBTOTAL(9,C19:C20)</f>
        <v>1.3777354799999997E-2</v>
      </c>
      <c r="D18" s="635">
        <f t="shared" si="2"/>
        <v>2.6962135199999999E-3</v>
      </c>
      <c r="E18" s="635">
        <f t="shared" si="2"/>
        <v>0</v>
      </c>
      <c r="F18" s="647"/>
      <c r="G18" s="636">
        <f>+B18+C18+D18</f>
        <v>6.5936934835200001</v>
      </c>
    </row>
    <row r="19" spans="1:7">
      <c r="A19" s="7" t="s">
        <v>1087</v>
      </c>
      <c r="B19" s="8">
        <f>+'1.1.3 Gas LPG Nhà ăn'!$I$26</f>
        <v>6.2319074399999996</v>
      </c>
      <c r="C19" s="8">
        <f>+'1.1.3 Gas LPG Nhà ăn'!$J$26</f>
        <v>1.3777354799999997E-2</v>
      </c>
      <c r="D19" s="8">
        <f>+'1.1.3 Gas LPG Nhà ăn'!$K$26</f>
        <v>2.6962135199999999E-3</v>
      </c>
      <c r="E19" s="6"/>
      <c r="F19" s="649">
        <f>+B19+C19+D19+E19</f>
        <v>6.24838100832</v>
      </c>
    </row>
    <row r="20" spans="1:7">
      <c r="A20" s="7" t="s">
        <v>1133</v>
      </c>
      <c r="B20" s="8">
        <f>+'1.1.5 Xăng MCC '!$I$26</f>
        <v>0.34531247519999997</v>
      </c>
      <c r="C20" s="8"/>
      <c r="D20" s="8"/>
      <c r="E20" s="6"/>
      <c r="F20" s="649">
        <f>+B20+C20+D20+E20</f>
        <v>0.34531247519999997</v>
      </c>
    </row>
    <row r="21" spans="1:7" s="633" customFormat="1" ht="28.5" customHeight="1">
      <c r="A21" s="630" t="s">
        <v>1088</v>
      </c>
      <c r="B21" s="631">
        <f>+SUBTOTAL(9,B22:B24)</f>
        <v>286.38135614718004</v>
      </c>
      <c r="C21" s="631">
        <f>+SUBTOTAL(9,C22:C24)</f>
        <v>0.56102850420462003</v>
      </c>
      <c r="D21" s="631">
        <f>+SUBTOTAL(9,D22:D24)</f>
        <v>7.83629592791136</v>
      </c>
      <c r="E21" s="631">
        <f>+SUBTOTAL(9,E22:E24)</f>
        <v>0</v>
      </c>
      <c r="F21" s="648"/>
      <c r="G21" s="632">
        <f>+B21+C21+D21</f>
        <v>294.77868057929601</v>
      </c>
    </row>
    <row r="22" spans="1:7" ht="18" customHeight="1">
      <c r="A22" s="9" t="s">
        <v>1134</v>
      </c>
      <c r="B22" s="10">
        <f>+'1.2.1 DO Xe nângNB Offroad'!$I$26</f>
        <v>41.118946595999994</v>
      </c>
      <c r="C22" s="10">
        <f>+'1.2.1 DO Xe nângNB Offroad'!$J$26</f>
        <v>6.4250434974600007E-2</v>
      </c>
      <c r="D22" s="10">
        <f>+'1.2.1 DO Xe nângNB Offroad'!$K$26</f>
        <v>4.3326384781680005</v>
      </c>
      <c r="E22" s="6"/>
      <c r="F22" s="649">
        <f t="shared" ref="F22" si="3">+B22+C22+D22+E22</f>
        <v>45.515835509142597</v>
      </c>
    </row>
    <row r="23" spans="1:7" ht="18" customHeight="1">
      <c r="A23" s="9" t="s">
        <v>1135</v>
      </c>
      <c r="B23" s="11">
        <f>+'1.2.2 DOXevậntảiBNOnroad'!$I$26</f>
        <v>233.70057547200003</v>
      </c>
      <c r="C23" s="11">
        <f>+'1.2.2 DOXevậntảiBNOnroad'!$J$26</f>
        <v>0.34317084503520001</v>
      </c>
      <c r="D23" s="11">
        <f>+'1.2.2 DOXevậntảiBNOnroad'!$K$26</f>
        <v>3.357908268624</v>
      </c>
      <c r="E23" s="6"/>
      <c r="F23" s="649">
        <f t="shared" ref="F23:F24" si="4">+B23+C23+D23+E23</f>
        <v>237.4016545856592</v>
      </c>
    </row>
    <row r="24" spans="1:7" ht="18" customHeight="1">
      <c r="A24" s="9" t="s">
        <v>1136</v>
      </c>
      <c r="B24" s="11">
        <f>+'1.2.3 Xăng Xe Onroad'!$I$26</f>
        <v>11.561834079180001</v>
      </c>
      <c r="C24" s="11">
        <f>+'1.2.3 Xăng Xe Onroad'!$J$26</f>
        <v>0.15360722419481995</v>
      </c>
      <c r="D24" s="11">
        <f>+'1.2.3 Xăng Xe Onroad'!$K$26</f>
        <v>0.14574918111935997</v>
      </c>
      <c r="E24" s="6"/>
      <c r="F24" s="649">
        <f t="shared" si="4"/>
        <v>11.86119048449418</v>
      </c>
    </row>
    <row r="25" spans="1:7" s="637" customFormat="1" ht="35.25" customHeight="1">
      <c r="A25" s="634" t="s">
        <v>1089</v>
      </c>
      <c r="B25" s="635">
        <f>+SUBTOTAL(9,B26:B29)</f>
        <v>7.3999999999999995E-3</v>
      </c>
      <c r="C25" s="635">
        <f t="shared" ref="C25:E25" si="5">+SUBTOTAL(9,C26:C29)</f>
        <v>0</v>
      </c>
      <c r="D25" s="635">
        <f t="shared" si="5"/>
        <v>0</v>
      </c>
      <c r="E25" s="635">
        <f t="shared" si="5"/>
        <v>12.593820000000001</v>
      </c>
      <c r="F25" s="647"/>
    </row>
    <row r="26" spans="1:7" s="640" customFormat="1" ht="18" customHeight="1">
      <c r="A26" s="653" t="s">
        <v>1090</v>
      </c>
      <c r="B26" s="639">
        <f t="shared" ref="B26:E26" si="6">+SUBTOTAL(9,B27)</f>
        <v>7.3999999999999995E-3</v>
      </c>
      <c r="C26" s="639">
        <f t="shared" si="6"/>
        <v>0</v>
      </c>
      <c r="D26" s="639">
        <f t="shared" si="6"/>
        <v>0</v>
      </c>
      <c r="E26" s="639">
        <f t="shared" si="6"/>
        <v>0</v>
      </c>
      <c r="F26" s="654"/>
    </row>
    <row r="27" spans="1:7">
      <c r="A27" s="9" t="s">
        <v>1137</v>
      </c>
      <c r="B27" s="5">
        <f>+'1.3.1. Bình chữacháyCO2'!$G$22</f>
        <v>7.3999999999999995E-3</v>
      </c>
      <c r="C27" s="5"/>
      <c r="D27" s="5"/>
      <c r="E27" s="6"/>
      <c r="F27" s="649">
        <f>+B27+C27+D27+E27</f>
        <v>7.3999999999999995E-3</v>
      </c>
    </row>
    <row r="28" spans="1:7" s="640" customFormat="1">
      <c r="A28" s="639" t="s">
        <v>1091</v>
      </c>
      <c r="B28" s="639">
        <f t="shared" ref="B28:E28" si="7">+SUBTOTAL(9,B29)</f>
        <v>0</v>
      </c>
      <c r="C28" s="639">
        <f t="shared" si="7"/>
        <v>0</v>
      </c>
      <c r="D28" s="639">
        <f t="shared" si="7"/>
        <v>0</v>
      </c>
      <c r="E28" s="639">
        <f t="shared" si="7"/>
        <v>12.593820000000001</v>
      </c>
      <c r="F28" s="654"/>
    </row>
    <row r="29" spans="1:7" s="658" customFormat="1">
      <c r="A29" s="655" t="s">
        <v>1138</v>
      </c>
      <c r="B29" s="656"/>
      <c r="C29" s="656"/>
      <c r="D29" s="656"/>
      <c r="E29" s="656">
        <f>+'1.3.2.Môi chất lạnh'!$T$60</f>
        <v>12.593820000000001</v>
      </c>
      <c r="F29" s="657">
        <f>+B29+C29+D29+E29</f>
        <v>12.593820000000001</v>
      </c>
    </row>
    <row r="30" spans="1:7" s="637" customFormat="1" ht="24" customHeight="1">
      <c r="A30" s="638" t="s">
        <v>1140</v>
      </c>
      <c r="B30" s="635">
        <f>+B31+B32</f>
        <v>0</v>
      </c>
      <c r="C30" s="635">
        <f t="shared" ref="C30:D30" si="8">+C31+C32</f>
        <v>23.251581000000002</v>
      </c>
      <c r="D30" s="635">
        <f t="shared" si="8"/>
        <v>3.3529795218570397</v>
      </c>
      <c r="E30" s="635"/>
      <c r="F30" s="647"/>
    </row>
    <row r="31" spans="1:7">
      <c r="A31" s="9" t="s">
        <v>1092</v>
      </c>
      <c r="B31" s="5"/>
      <c r="C31" s="5"/>
      <c r="D31" s="5">
        <f>+'1.3.3 BỂ XỬ LÝ NƯỚC THẢI TT '!$O$25</f>
        <v>3.3529795218570397</v>
      </c>
      <c r="E31" s="6"/>
      <c r="F31" s="651">
        <f>B31+C31+D31+E31</f>
        <v>3.3529795218570397</v>
      </c>
    </row>
    <row r="32" spans="1:7">
      <c r="A32" s="9" t="s">
        <v>1093</v>
      </c>
      <c r="B32" s="5"/>
      <c r="C32" s="5">
        <f>+'1.3.3 BỂ XỬ LÝ NƯỚC THẢI TT '!$K$25</f>
        <v>23.251581000000002</v>
      </c>
      <c r="D32" s="5"/>
      <c r="E32" s="6"/>
      <c r="F32" s="651">
        <f>B32+C32+D32+E32</f>
        <v>23.251581000000002</v>
      </c>
    </row>
    <row r="33" spans="1:6" s="637" customFormat="1" ht="24.75" customHeight="1">
      <c r="A33" s="638" t="s">
        <v>1141</v>
      </c>
      <c r="B33" s="635">
        <f>+B34+B35</f>
        <v>0</v>
      </c>
      <c r="C33" s="635">
        <f t="shared" ref="C33:E33" si="9">+C34+C35</f>
        <v>0</v>
      </c>
      <c r="D33" s="635">
        <f t="shared" si="9"/>
        <v>5.5769999999999952E-2</v>
      </c>
      <c r="E33" s="635">
        <f t="shared" si="9"/>
        <v>0</v>
      </c>
      <c r="F33" s="647"/>
    </row>
    <row r="34" spans="1:6">
      <c r="A34" s="9" t="s">
        <v>1139</v>
      </c>
      <c r="B34" s="5"/>
      <c r="C34" s="5"/>
      <c r="D34" s="5">
        <f>+'1.3.4 Phân bón'!$H$26</f>
        <v>5.5769999999999952E-2</v>
      </c>
      <c r="E34" s="6"/>
      <c r="F34" s="649">
        <f>+B34+C34+D34+E34</f>
        <v>5.5769999999999952E-2</v>
      </c>
    </row>
    <row r="35" spans="1:6">
      <c r="A35" s="9"/>
      <c r="B35" s="12"/>
      <c r="C35" s="12"/>
      <c r="D35" s="12"/>
      <c r="E35" s="12"/>
      <c r="F35" s="651"/>
    </row>
    <row r="36" spans="1:6" hidden="1">
      <c r="A36" s="13" t="s">
        <v>1094</v>
      </c>
      <c r="B36" s="14">
        <f>SUM(B9:B35)</f>
        <v>1369.7356806485598</v>
      </c>
      <c r="C36" s="14">
        <f>SUM(C9:C35)</f>
        <v>48.286788149816644</v>
      </c>
      <c r="D36" s="14">
        <f>SUM(D9:D35)</f>
        <v>23.698234220630599</v>
      </c>
      <c r="E36" s="14">
        <f>SUM(E9:E35)</f>
        <v>37.781460000000003</v>
      </c>
      <c r="F36" s="652">
        <f>SUM(B36:E36)</f>
        <v>1479.502163019007</v>
      </c>
    </row>
    <row r="37" spans="1:6" hidden="1">
      <c r="B37" s="15">
        <f>+B36/$F$36</f>
        <v>0.92580850159322337</v>
      </c>
      <c r="C37" s="15">
        <f t="shared" ref="C37:F37" si="10">+C36/$F$36</f>
        <v>3.2637186586658817E-2</v>
      </c>
      <c r="D37" s="15">
        <f t="shared" si="10"/>
        <v>1.6017708397447036E-2</v>
      </c>
      <c r="E37" s="15">
        <f t="shared" si="10"/>
        <v>2.5536603422670785E-2</v>
      </c>
      <c r="F37" s="16">
        <f t="shared" si="10"/>
        <v>1</v>
      </c>
    </row>
    <row r="38" spans="1:6" hidden="1"/>
  </sheetData>
  <mergeCells count="1">
    <mergeCell ref="A1:E1"/>
  </mergeCells>
  <pageMargins left="0.7" right="0.7" top="0.75" bottom="0.75" header="0.3" footer="0.3"/>
  <pageSetup paperSize="9" scale="4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11</vt:i4>
      </vt:variant>
    </vt:vector>
  </HeadingPairs>
  <TitlesOfParts>
    <vt:vector size="45" baseType="lpstr">
      <vt:lpstr>QT01BM01..</vt:lpstr>
      <vt:lpstr>QT01.BM01</vt:lpstr>
      <vt:lpstr>QT01.BM02..</vt:lpstr>
      <vt:lpstr>QT03.BM01</vt:lpstr>
      <vt:lpstr>QT01.BM02</vt:lpstr>
      <vt:lpstr>QT03BM02.Độ khôngđảmbảotổng..</vt:lpstr>
      <vt:lpstr>QT03BM02.Độ khôngđảmbảotổng</vt:lpstr>
      <vt:lpstr>QT03BM02.Độ khôngđảmbảo Cat12..</vt:lpstr>
      <vt:lpstr>QT03BM02.Độkhôngđảmbảo 1.2 </vt:lpstr>
      <vt:lpstr>QT02BM01Bảng địnhluongLoaiKhí..</vt:lpstr>
      <vt:lpstr>QT02BM01Bảng địnhluong Loai</vt:lpstr>
      <vt:lpstr>QT02BM01 Bảng định lượng KNK TH</vt:lpstr>
      <vt:lpstr>1.1.1 DO Máy phát điện</vt:lpstr>
      <vt:lpstr>1.1.2 Gas LPG SX</vt:lpstr>
      <vt:lpstr>1.1.3 Gas LPG Nhà ăn</vt:lpstr>
      <vt:lpstr>1.1.4 Methanol</vt:lpstr>
      <vt:lpstr>1.1.5 Xăng MCC </vt:lpstr>
      <vt:lpstr>1.1.6 Dầu hỏa</vt:lpstr>
      <vt:lpstr>1.1.7 Nước thủy tinh</vt:lpstr>
      <vt:lpstr>1.1.8.Sơn lõi khuôn BR-750</vt:lpstr>
      <vt:lpstr>1.1.8. Sơn lõi KOALIDPASTE94i</vt:lpstr>
      <vt:lpstr>1.1.9 Cồn Công nghiệp</vt:lpstr>
      <vt:lpstr>1.1.10. CO2 kết dính thao</vt:lpstr>
      <vt:lpstr>1.2.1 DO Xe nângNB Offroad</vt:lpstr>
      <vt:lpstr>1.2.2 DOXevậntảiBNOnroad</vt:lpstr>
      <vt:lpstr>1.2.3 Xăng Xe Onroad</vt:lpstr>
      <vt:lpstr>1.3.1. Bình chữacháyCO2</vt:lpstr>
      <vt:lpstr>1.3.2.Môi chất lạnh</vt:lpstr>
      <vt:lpstr>1.3.3 BỂ XỬ LÝ NƯỚC THẢI TT </vt:lpstr>
      <vt:lpstr>1.3.3 BỂ XL NƯỚC THẢI TT</vt:lpstr>
      <vt:lpstr>1.3.4 Phân bón</vt:lpstr>
      <vt:lpstr>1.4. HẤP THỤ TỪ CÂY XANH</vt:lpstr>
      <vt:lpstr>2.1. MUA ĐIỆN NGOÀI </vt:lpstr>
      <vt:lpstr>Bảng phát thải theo loại khí 24</vt:lpstr>
      <vt:lpstr>'QT02BM01 Bảng định lượng KNK TH'!Print_Area</vt:lpstr>
      <vt:lpstr>'QT02BM01Bảng địnhluong Loai'!Print_Area</vt:lpstr>
      <vt:lpstr>'QT02BM01Bảng địnhluongLoaiKhí..'!Print_Area</vt:lpstr>
      <vt:lpstr>'QT03BM02.Độ khôngđảmbảotổng'!Print_Area</vt:lpstr>
      <vt:lpstr>'QT03BM02.Độ khôngđảmbảotổng..'!Print_Area</vt:lpstr>
      <vt:lpstr>'1.3.2.Môi chất lạnh'!Print_Titles</vt:lpstr>
      <vt:lpstr>'QT01.BM01'!Print_Titles</vt:lpstr>
      <vt:lpstr>'QT01.BM02'!Print_Titles</vt:lpstr>
      <vt:lpstr>QT01BM01..!Print_Titles</vt:lpstr>
      <vt:lpstr>'QT03BM02.Độ khôngđảmbảotổng'!Print_Titles</vt:lpstr>
      <vt:lpstr>'QT03BM02.Độkhôngđảmbảo 1.2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VNT</dc:creator>
  <cp:lastModifiedBy>codien ungdung</cp:lastModifiedBy>
  <cp:lastPrinted>2025-05-20T00:51:37Z</cp:lastPrinted>
  <dcterms:created xsi:type="dcterms:W3CDTF">2024-01-30T06:47:00Z</dcterms:created>
  <dcterms:modified xsi:type="dcterms:W3CDTF">2026-03-14T04:23:53Z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EE6A37451EFE4662AE5952E24954845B_13</vt:lpwstr>
  </property>
  <property fmtid="{D5CDD505-2E9C-101B-9397-08002B2CF9AE}" pid="3" name="KSOProductBuildVer">
    <vt:lpwstr>1033-12.2.0.21179</vt:lpwstr>
  </property>
</Properties>
</file>